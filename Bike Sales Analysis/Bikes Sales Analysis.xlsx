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Priyanka\IICS\Personal Projects\"/>
    </mc:Choice>
  </mc:AlternateContent>
  <xr:revisionPtr revIDLastSave="0" documentId="8_{C03DE7EA-F745-44C8-B0F8-A71C54AD4F92}" xr6:coauthVersionLast="47" xr6:coauthVersionMax="47" xr10:uidLastSave="{00000000-0000-0000-0000-000000000000}"/>
  <bookViews>
    <workbookView xWindow="-108" yWindow="-108" windowWidth="23256" windowHeight="12456" firstSheet="2" activeTab="2" xr2:uid="{00000000-000D-0000-FFFF-FFFF00000000}"/>
  </bookViews>
  <sheets>
    <sheet name="bike_buyers" sheetId="1" r:id="rId1"/>
    <sheet name="Working Sheet" sheetId="2" r:id="rId2"/>
    <sheet name="Dashboard" sheetId="3" r:id="rId3"/>
    <sheet name="Pivot Table" sheetId="4"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<sst xmlns="http://schemas.openxmlformats.org/spreadsheetml/2006/main" count="16267" uniqueCount="51">
  <si>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</si>
  <si>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</si>
  <si>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</si>
  <si>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</si>
  <si>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</si>
  <si>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</si>
  <si>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</si>
  <si>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</si>
  <si>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</si>
  <si>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</si>
  <si>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</si>
  <si>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</si>
  <si>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</si>
  <si>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</si>
  <si>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</si>
  <si>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</si>
  <si>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</si>
  <si>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</si>
  <si>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</si>
  <si>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</si>
  <si>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</si>
  <si>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</si>
  <si>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</si>
  <si>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</si>
  <si>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</si>
  <si>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</si>
  <si>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</si>
  <si>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</si>
  <si>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</si>
  <si>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</si>
  <si>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</si>
  <si>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</si>
  <si>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</si>
  <si>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</si>
  <si>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</si>
  <si>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</si>
  <si>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</si>
  <si>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</si>
  <si>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</si>
  <si>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</si>
  <si>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</si>
  <si>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Column Labels</t>
  </si>
  <si>
    <t>Grand Total</t>
  </si>
  <si>
    <t>Row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</si>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</sst>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409]#,##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
      <b/>
      <sz val="4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Analysis.xlsx]Pivot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[$$-409]#,##0</c:formatCode>
                <c:ptCount val="2"/>
                <c:pt idx="0">
                  <c:v>53440</c:v>
                </c:pt>
                <c:pt idx="1">
                  <c:v>56208.178438661707</c:v>
                </c:pt>
              </c:numCache>
            </c:numRef>
          </c:val>
          <c:extLst>
            <c:ext xmlns:c16="http://schemas.microsoft.com/office/drawing/2014/chart" uri="{C3380CC4-5D6E-409C-BE32-E72D297353CC}">
              <c16:uniqueId val="{00000000-E2B0-466F-BA97-B6F62569C9B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[$$-409]#,##0</c:formatCode>
                <c:ptCount val="2"/>
                <c:pt idx="0">
                  <c:v>55774.058577405856</c:v>
                </c:pt>
                <c:pt idx="1">
                  <c:v>60123.966942148763</c:v>
                </c:pt>
              </c:numCache>
            </c:numRef>
          </c:val>
          <c:extLst>
            <c:ext xmlns:c16="http://schemas.microsoft.com/office/drawing/2014/chart" uri="{C3380CC4-5D6E-409C-BE32-E72D297353CC}">
              <c16:uniqueId val="{00000001-E2B0-466F-BA97-B6F62569C9B1}"/>
            </c:ext>
          </c:extLst>
        </c:ser>
        <c:dLbls>
          <c:showLegendKey val="0"/>
          <c:showVal val="0"/>
          <c:showCatName val="0"/>
          <c:showSerName val="0"/>
          <c:showPercent val="0"/>
          <c:showBubbleSize val="0"/>
        </c:dLbls>
        <c:gapWidth val="219"/>
        <c:overlap val="-27"/>
        <c:axId val="371199679"/>
        <c:axId val="371183359"/>
      </c:barChart>
      <c:catAx>
        <c:axId val="371199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71183359"/>
        <c:crosses val="autoZero"/>
        <c:auto val="1"/>
        <c:lblAlgn val="ctr"/>
        <c:lblOffset val="100"/>
        <c:noMultiLvlLbl val="0"/>
      </c:catAx>
      <c:valAx>
        <c:axId val="371183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7119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3175"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Analysis.xlsx]Pivot Table!PivotTable2</c:name>
    <c:fmtId val="6"/>
  </c:pivotSource>
  <c:chart>
    <c:title>
      <c:tx>
        <c:rich>
          <a:bodyPr rot="0" spcFirstLastPara="1" vertOverflow="ellipsis" vert="horz" wrap="square" anchor="ctr" anchorCtr="1"/>
          <a:lstStyle/>
          <a:p>
            <a:pPr>
              <a:defRPr lang="en-US" sz="1200" b="0" i="0" u="none" strike="noStrike" kern="1200" spc="0" baseline="0">
                <a:solidFill>
                  <a:schemeClr val="dk1"/>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872-455E-8A05-7B4534EA4523}"/>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872-455E-8A05-7B4534EA4523}"/>
            </c:ext>
          </c:extLst>
        </c:ser>
        <c:dLbls>
          <c:showLegendKey val="0"/>
          <c:showVal val="0"/>
          <c:showCatName val="0"/>
          <c:showSerName val="0"/>
          <c:showPercent val="0"/>
          <c:showBubbleSize val="0"/>
        </c:dLbls>
        <c:smooth val="0"/>
        <c:axId val="1074398495"/>
        <c:axId val="1074395615"/>
      </c:lineChart>
      <c:catAx>
        <c:axId val="1074398495"/>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074395615"/>
        <c:crosses val="autoZero"/>
        <c:auto val="1"/>
        <c:lblAlgn val="ctr"/>
        <c:lblOffset val="100"/>
        <c:noMultiLvlLbl val="0"/>
      </c:catAx>
      <c:valAx>
        <c:axId val="107439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07439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accent1"/>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Analysis.xlsx]Pivot Table!PivotTable3</c:name>
    <c:fmtId val="6"/>
  </c:pivotSource>
  <c:chart>
    <c:title>
      <c:tx>
        <c:rich>
          <a:bodyPr rot="0" spcFirstLastPara="1" vertOverflow="ellipsis" vert="horz" wrap="square" anchor="ctr" anchorCtr="1"/>
          <a:lstStyle/>
          <a:p>
            <a:pPr>
              <a:defRPr lang="en-US" sz="1200" b="0" i="0" u="none" strike="noStrike" kern="1200" spc="0" baseline="0">
                <a:solidFill>
                  <a:schemeClr val="dk1"/>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6B0-47B2-9C5E-8C9DEFF2DDA8}"/>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6B0-47B2-9C5E-8C9DEFF2DDA8}"/>
            </c:ext>
          </c:extLst>
        </c:ser>
        <c:dLbls>
          <c:showLegendKey val="0"/>
          <c:showVal val="0"/>
          <c:showCatName val="0"/>
          <c:showSerName val="0"/>
          <c:showPercent val="0"/>
          <c:showBubbleSize val="0"/>
        </c:dLbls>
        <c:marker val="1"/>
        <c:smooth val="0"/>
        <c:axId val="1063484271"/>
        <c:axId val="1063485711"/>
      </c:lineChart>
      <c:catAx>
        <c:axId val="1063484271"/>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063485711"/>
        <c:crosses val="autoZero"/>
        <c:auto val="1"/>
        <c:lblAlgn val="ctr"/>
        <c:lblOffset val="100"/>
        <c:noMultiLvlLbl val="0"/>
      </c:catAx>
      <c:valAx>
        <c:axId val="106348571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06348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accent1"/>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Analysis.xlsx]Pivot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[$$-409]#,##0</c:formatCode>
                <c:ptCount val="2"/>
                <c:pt idx="0">
                  <c:v>53440</c:v>
                </c:pt>
                <c:pt idx="1">
                  <c:v>56208.178438661707</c:v>
                </c:pt>
              </c:numCache>
            </c:numRef>
          </c:val>
          <c:extLst>
            <c:ext xmlns:c16="http://schemas.microsoft.com/office/drawing/2014/chart" uri="{C3380CC4-5D6E-409C-BE32-E72D297353CC}">
              <c16:uniqueId val="{00000000-2F5A-49A5-8B61-44B81E1A566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[$$-409]#,##0</c:formatCode>
                <c:ptCount val="2"/>
                <c:pt idx="0">
                  <c:v>55774.058577405856</c:v>
                </c:pt>
                <c:pt idx="1">
                  <c:v>60123.966942148763</c:v>
                </c:pt>
              </c:numCache>
            </c:numRef>
          </c:val>
          <c:extLst>
            <c:ext xmlns:c16="http://schemas.microsoft.com/office/drawing/2014/chart" uri="{C3380CC4-5D6E-409C-BE32-E72D297353CC}">
              <c16:uniqueId val="{00000001-2F5A-49A5-8B61-44B81E1A5661}"/>
            </c:ext>
          </c:extLst>
        </c:ser>
        <c:dLbls>
          <c:showLegendKey val="0"/>
          <c:showVal val="0"/>
          <c:showCatName val="0"/>
          <c:showSerName val="0"/>
          <c:showPercent val="0"/>
          <c:showBubbleSize val="0"/>
        </c:dLbls>
        <c:gapWidth val="219"/>
        <c:overlap val="-27"/>
        <c:axId val="371199679"/>
        <c:axId val="371183359"/>
      </c:barChart>
      <c:catAx>
        <c:axId val="371199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183359"/>
        <c:crosses val="autoZero"/>
        <c:auto val="1"/>
        <c:lblAlgn val="ctr"/>
        <c:lblOffset val="100"/>
        <c:noMultiLvlLbl val="0"/>
      </c:catAx>
      <c:valAx>
        <c:axId val="371183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19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Analysis.xlsx]Pivot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D6B-4C76-8B1C-386C8CF49C8B}"/>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D6B-4C76-8B1C-386C8CF49C8B}"/>
            </c:ext>
          </c:extLst>
        </c:ser>
        <c:dLbls>
          <c:showLegendKey val="0"/>
          <c:showVal val="0"/>
          <c:showCatName val="0"/>
          <c:showSerName val="0"/>
          <c:showPercent val="0"/>
          <c:showBubbleSize val="0"/>
        </c:dLbls>
        <c:smooth val="0"/>
        <c:axId val="1074398495"/>
        <c:axId val="1074395615"/>
      </c:lineChart>
      <c:catAx>
        <c:axId val="1074398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395615"/>
        <c:crosses val="autoZero"/>
        <c:auto val="1"/>
        <c:lblAlgn val="ctr"/>
        <c:lblOffset val="100"/>
        <c:noMultiLvlLbl val="0"/>
      </c:catAx>
      <c:valAx>
        <c:axId val="107439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39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Analysis.xlsx]Pivot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D6F-49BD-BCA3-BD8A90A30809}"/>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D6F-49BD-BCA3-BD8A90A30809}"/>
            </c:ext>
          </c:extLst>
        </c:ser>
        <c:dLbls>
          <c:showLegendKey val="0"/>
          <c:showVal val="0"/>
          <c:showCatName val="0"/>
          <c:showSerName val="0"/>
          <c:showPercent val="0"/>
          <c:showBubbleSize val="0"/>
        </c:dLbls>
        <c:marker val="1"/>
        <c:smooth val="0"/>
        <c:axId val="1063484271"/>
        <c:axId val="1063485711"/>
      </c:lineChart>
      <c:catAx>
        <c:axId val="1063484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485711"/>
        <c:crosses val="autoZero"/>
        <c:auto val="1"/>
        <c:lblAlgn val="ctr"/>
        <c:lblOffset val="100"/>
        <c:noMultiLvlLbl val="0"/>
      </c:catAx>
      <c:valAx>
        <c:axId val="106348571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48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46792</xdr:colOff>
      <xdr:row>5</xdr:row>
      <xdr:rowOff>20932</xdr:rowOff>
    </xdr:from>
    <xdr:to>
      <xdr:col>8</xdr:col>
      <xdr:colOff>1</xdr:colOff>
      <xdr:row>17</xdr:row>
      <xdr:rowOff>174625</xdr:rowOff>
    </xdr:to>
    <xdr:graphicFrame macro="">
      <xdr:nvGraphicFramePr>
        <xdr:cNvPr id="2" name="Chart 1">
          <a:extLst>
            <a:ext uri="{FF2B5EF4-FFF2-40B4-BE49-F238E27FC236}">
              <a16:creationId xmlns:a16="http://schemas.microsoft.com/office/drawing/2014/main" id="{3546A952-B423-4F02-95FB-4CDB49152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47626</xdr:colOff>
      <xdr:row>18</xdr:row>
      <xdr:rowOff>23813</xdr:rowOff>
    </xdr:from>
    <xdr:to>
      <xdr:col>15</xdr:col>
      <xdr:colOff>23812</xdr:colOff>
      <xdr:row>35</xdr:row>
      <xdr:rowOff>17783</xdr:rowOff>
    </xdr:to>
    <xdr:graphicFrame macro="">
      <xdr:nvGraphicFramePr>
        <xdr:cNvPr id="3" name="Chart 2">
          <a:extLst>
            <a:ext uri="{FF2B5EF4-FFF2-40B4-BE49-F238E27FC236}">
              <a16:creationId xmlns:a16="http://schemas.microsoft.com/office/drawing/2014/main" id="{EBEDD162-77E3-4677-A1F1-80E799225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31750</xdr:colOff>
      <xdr:row>5</xdr:row>
      <xdr:rowOff>23810</xdr:rowOff>
    </xdr:from>
    <xdr:to>
      <xdr:col>15</xdr:col>
      <xdr:colOff>15874</xdr:colOff>
      <xdr:row>17</xdr:row>
      <xdr:rowOff>174625</xdr:rowOff>
    </xdr:to>
    <xdr:graphicFrame macro="">
      <xdr:nvGraphicFramePr>
        <xdr:cNvPr id="4" name="Chart 3">
          <a:extLst>
            <a:ext uri="{FF2B5EF4-FFF2-40B4-BE49-F238E27FC236}">
              <a16:creationId xmlns:a16="http://schemas.microsoft.com/office/drawing/2014/main" id="{F0E74FD7-C5D0-4845-A9D1-D7EAD5DA8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20955</xdr:colOff>
      <xdr:row>5</xdr:row>
      <xdr:rowOff>31749</xdr:rowOff>
    </xdr:from>
    <xdr:to>
      <xdr:col>3</xdr:col>
      <xdr:colOff>16192</xdr:colOff>
      <xdr:row>11</xdr:row>
      <xdr:rowOff>7937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71D6B8EE-9943-CD97-73A2-9915BCF45DB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0955" y="944562"/>
              <a:ext cx="1828800" cy="1071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11756</xdr:rowOff>
    </xdr:from>
    <xdr:to>
      <xdr:col>3</xdr:col>
      <xdr:colOff>15875</xdr:colOff>
      <xdr:row>27</xdr:row>
      <xdr:rowOff>166687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DAC94B9-E4EF-F4F0-D63B-A106FC8378B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97881"/>
              <a:ext cx="1849438" cy="1797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26666</xdr:colOff>
      <xdr:row>11</xdr:row>
      <xdr:rowOff>31743</xdr:rowOff>
    </xdr:from>
    <xdr:to>
      <xdr:col>3</xdr:col>
      <xdr:colOff>21903</xdr:colOff>
      <xdr:row>17</xdr:row>
      <xdr:rowOff>174619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8BE234C-E9AF-B2B3-3162-8D20DD40F0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6666" y="2039931"/>
              <a:ext cx="1828800" cy="1238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171450</xdr:rowOff>
    </xdr:from>
    <xdr:to>
      <xdr:col>12</xdr:col>
      <xdr:colOff>594360</xdr:colOff>
      <xdr:row>17</xdr:row>
      <xdr:rowOff>7620</xdr:rowOff>
    </xdr:to>
    <xdr:graphicFrame macro="">
      <xdr:nvGraphicFramePr>
        <xdr:cNvPr id="2" name="Chart 1">
          <a:extLst>
            <a:ext uri="{FF2B5EF4-FFF2-40B4-BE49-F238E27FC236}">
              <a16:creationId xmlns:a16="http://schemas.microsoft.com/office/drawing/2014/main" id="{2C8AA3E4-C347-9956-1556-7A75B9F8E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19</xdr:row>
      <xdr:rowOff>3810</xdr:rowOff>
    </xdr:from>
    <xdr:to>
      <xdr:col>12</xdr:col>
      <xdr:colOff>601980</xdr:colOff>
      <xdr:row>34</xdr:row>
      <xdr:rowOff>3810</xdr:rowOff>
    </xdr:to>
    <xdr:graphicFrame macro="">
      <xdr:nvGraphicFramePr>
        <xdr:cNvPr id="3" name="Chart 2">
          <a:extLst>
            <a:ext uri="{FF2B5EF4-FFF2-40B4-BE49-F238E27FC236}">
              <a16:creationId xmlns:a16="http://schemas.microsoft.com/office/drawing/2014/main" id="{72BEFD10-569D-E806-5D4F-62EE210C8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36</xdr:row>
      <xdr:rowOff>3810</xdr:rowOff>
    </xdr:from>
    <xdr:to>
      <xdr:col>13</xdr:col>
      <xdr:colOff>0</xdr:colOff>
      <xdr:row>51</xdr:row>
      <xdr:rowOff>7620</xdr:rowOff>
    </xdr:to>
    <xdr:graphicFrame macro="">
      <xdr:nvGraphicFramePr>
        <xdr:cNvPr id="4" name="Chart 3">
          <a:extLst>
            <a:ext uri="{FF2B5EF4-FFF2-40B4-BE49-F238E27FC236}">
              <a16:creationId xmlns:a16="http://schemas.microsoft.com/office/drawing/2014/main" id="{93576C85-9ACC-CFE6-2A66-2AC0F6522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6007.657313194446" createdVersion="8" refreshedVersion="8" minRefreshableVersion="3" recordCount="1000" xr:uid="{8AC62240-A86D-4D05-89B4-C970AD2D587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399521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ECEFB8-3F61-4736-B89E-0DE78E890962}"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7:D42"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AA6E8F-3B4E-4E1C-B658-2305F95C6E82}"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7"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F92D52-981D-4305-B873-2D87CF183DA7}"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CEEDE07-1295-43E9-B76C-EC2B919523EB}" sourceName="Marital Status">
  <pivotTables>
    <pivotTable tabId="4" name="PivotTable1"/>
    <pivotTable tabId="4" name="PivotTable2"/>
    <pivotTable tabId="4" name="PivotTable3"/>
  </pivotTables>
  <data>
    <tabular pivotCacheId="163995213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D4E8430-BA9C-469A-B11F-CD3C9115F8FE}" sourceName="Education">
  <pivotTables>
    <pivotTable tabId="4" name="PivotTable1"/>
    <pivotTable tabId="4" name="PivotTable2"/>
    <pivotTable tabId="4" name="PivotTable3"/>
  </pivotTables>
  <data>
    <tabular pivotCacheId="163995213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EB8FD1-FB69-4D9B-9C95-F4BFBF824E89}" sourceName="Region">
  <pivotTables>
    <pivotTable tabId="4" name="PivotTable1"/>
    <pivotTable tabId="4" name="PivotTable2"/>
    <pivotTable tabId="4" name="PivotTable3"/>
  </pivotTables>
  <data>
    <tabular pivotCacheId="163995213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4D890BA-7487-45B2-9559-64949571E6F3}" cache="Slicer_Marital_Status" caption="Marital Status" rowHeight="234950"/>
  <slicer name="Education" xr10:uid="{858A9E41-E813-4527-8B12-12E825FDF99D}" cache="Slicer_Education" caption="Education" rowHeight="234950"/>
  <slicer name="Region" xr10:uid="{A4853EDB-9455-497D-9F38-834D36058D1C}"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1"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AE8C9-9660-4934-BA32-3034B7E867C4}">
  <dimension ref="A1:N1001"/>
  <sheetViews>
    <sheetView topLeftCell="F1" workbookViewId="0">
      <selection activeCell="J1" sqref="J1:J1048576"/>
    </sheetView>
  </sheetViews>
  <sheetFormatPr defaultRowHeight="14.4" x14ac:dyDescent="0.3"/>
  <cols>
    <col min="1" max="1" width="10.88671875" customWidth="1"/>
    <col min="2" max="2" width="14.5546875" bestFit="1" customWidth="1"/>
    <col min="3" max="3" width="14" customWidth="1"/>
    <col min="4" max="4" width="19.109375" style="3" customWidth="1"/>
    <col min="6" max="6" width="24.21875" customWidth="1"/>
    <col min="7" max="7" width="12.6640625" bestFit="1" customWidth="1"/>
    <col min="8" max="8" width="20.21875" customWidth="1"/>
    <col min="10" max="10" width="25" customWidth="1"/>
    <col min="11" max="11" width="12.88671875" bestFit="1" customWidth="1"/>
    <col min="13" max="13" width="19.5546875" customWidth="1"/>
    <col min="14" max="14" width="17.332031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 "Old", IF(L2&gt;=31, "Middle Age", IF(L2&lt;31, "Adolescent", "Invalid")))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 "Old", IF(L3&gt;=31, "Middle Age", IF(L3&lt;31, "Adolescent", "Invalid")))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 "Old", IF(L67&gt;=31, "Middle Age", IF(L67&lt;31, "Adolescent", "Invalid")))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 "Old", IF(L131&gt;=31, "Middle Age", IF(L131&lt;31, "Adolescent", "Invalid")))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 "Old", IF(L195&gt;=31, "Middle Age", IF(L195&lt;31, "Adolescent", "Invalid")))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 "Old", IF(L259&gt;=31, "Middle Age", IF(L259&lt;31, "Adolescent", "Invalid")))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 "Old", IF(L323&gt;=31, "Middle Age", IF(L323&lt;31, "Adolescent", "Invalid")))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 "Old", IF(L387&gt;=31, "Middle Age", IF(L387&lt;31, "Adolescent", "Invalid")))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 "Old", IF(L451&gt;=31, "Middle Age", IF(L451&lt;31, "Adolescent", "Invalid")))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 "Old", IF(L515&gt;=31, "Middle Age", IF(L515&lt;31, "Adolescent", "Invalid")))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 "Old", IF(L579&gt;=31, "Middle Age", IF(L579&lt;31, "Adolescent", "Invalid")))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 "Old", IF(L643&gt;=31, "Middle Age", IF(L643&lt;31, "Adolescent", "Invalid")))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 "Old", IF(L707&gt;=31, "Middle Age", IF(L707&lt;31, "Adolescent", "Invalid")))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 "Old", IF(L771&gt;=31, "Middle Age", IF(L771&lt;31, "Adolescent", "Invalid")))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 "Old", IF(L835&gt;=31, "Middle Age", IF(L835&lt;31, "Adolescent", "Invalid")))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 "Old", IF(L899&gt;=31, "Middle Age", IF(L899&lt;31, "Adolescent", "Invalid")))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 "Old", IF(L963&gt;=31, "Middle Age", IF(L963&lt;31, "Adolescent", "Invalid")))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D3DAE8C9-9660-4934-BA32-3034B7E867C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20DF-4487-4886-8196-CFB37C399D29}">
  <dimension ref="A1:O5"/>
  <sheetViews>
    <sheetView showGridLines="0" tabSelected="1" topLeftCell="A4" zoomScale="96" workbookViewId="0">
      <selection activeCell="C33" sqref="C33"/>
    </sheetView>
  </sheetViews>
  <sheetFormatPr defaultRowHeight="14.4" x14ac:dyDescent="0.3"/>
  <sheetData>
    <row r="1" spans="1:15" ht="14.4" customHeight="1" x14ac:dyDescent="0.3">
      <c r="A1" s="8" t="s">
        <v>50</v>
      </c>
      <c r="B1" s="7"/>
      <c r="C1" s="7"/>
      <c r="D1" s="7"/>
      <c r="E1" s="7"/>
      <c r="F1" s="7"/>
      <c r="G1" s="7"/>
      <c r="H1" s="7"/>
      <c r="I1" s="7"/>
      <c r="J1" s="7"/>
      <c r="K1" s="7"/>
      <c r="L1" s="7"/>
      <c r="M1" s="7"/>
      <c r="N1" s="7"/>
      <c r="O1" s="7"/>
    </row>
    <row r="2" spans="1:15" ht="14.4" customHeight="1" x14ac:dyDescent="0.3">
      <c r="A2" s="7"/>
      <c r="B2" s="7"/>
      <c r="C2" s="7"/>
      <c r="D2" s="7"/>
      <c r="E2" s="7"/>
      <c r="F2" s="7"/>
      <c r="G2" s="7"/>
      <c r="H2" s="7"/>
      <c r="I2" s="7"/>
      <c r="J2" s="7"/>
      <c r="K2" s="7"/>
      <c r="L2" s="7"/>
      <c r="M2" s="7"/>
      <c r="N2" s="7"/>
      <c r="O2" s="7"/>
    </row>
    <row r="3" spans="1:15" ht="14.4" customHeight="1" x14ac:dyDescent="0.3">
      <c r="A3" s="7"/>
      <c r="B3" s="7"/>
      <c r="C3" s="7"/>
      <c r="D3" s="7"/>
      <c r="E3" s="7"/>
      <c r="F3" s="7"/>
      <c r="G3" s="7"/>
      <c r="H3" s="7"/>
      <c r="I3" s="7"/>
      <c r="J3" s="7"/>
      <c r="K3" s="7"/>
      <c r="L3" s="7"/>
      <c r="M3" s="7"/>
      <c r="N3" s="7"/>
      <c r="O3" s="7"/>
    </row>
    <row r="4" spans="1:15" ht="14.4" customHeight="1" x14ac:dyDescent="0.3">
      <c r="A4" s="7"/>
      <c r="B4" s="7"/>
      <c r="C4" s="7"/>
      <c r="D4" s="7"/>
      <c r="E4" s="7"/>
      <c r="F4" s="7"/>
      <c r="G4" s="7"/>
      <c r="H4" s="7"/>
      <c r="I4" s="7"/>
      <c r="J4" s="7"/>
      <c r="K4" s="7"/>
      <c r="L4" s="7"/>
      <c r="M4" s="7"/>
      <c r="N4" s="7"/>
      <c r="O4" s="7"/>
    </row>
    <row r="5" spans="1:15" ht="14.4" customHeight="1" x14ac:dyDescent="0.3">
      <c r="A5" s="7"/>
      <c r="B5" s="7"/>
      <c r="C5" s="7"/>
      <c r="D5" s="7"/>
      <c r="E5" s="7"/>
      <c r="F5" s="7"/>
      <c r="G5" s="7"/>
      <c r="H5" s="7"/>
      <c r="I5" s="7"/>
      <c r="J5" s="7"/>
      <c r="K5" s="7"/>
      <c r="L5" s="7"/>
      <c r="M5" s="7"/>
      <c r="N5" s="7"/>
      <c r="O5" s="7"/>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D6C97-BCA6-4C0B-8752-C0DACFB83B65}">
  <dimension ref="A3:D42"/>
  <sheetViews>
    <sheetView topLeftCell="E33" workbookViewId="0">
      <selection activeCell="A37" sqref="A37"/>
    </sheetView>
  </sheetViews>
  <sheetFormatPr defaultRowHeight="14.4" x14ac:dyDescent="0.3"/>
  <cols>
    <col min="1" max="1" width="17" bestFit="1" customWidth="1"/>
    <col min="2" max="2" width="15.5546875" bestFit="1" customWidth="1"/>
    <col min="3" max="3" width="7.5546875" bestFit="1" customWidth="1"/>
    <col min="4" max="4" width="10.77734375" bestFit="1" customWidth="1"/>
  </cols>
  <sheetData>
    <row r="3" spans="1:4" x14ac:dyDescent="0.3">
      <c r="A3" s="4" t="s">
        <v>44</v>
      </c>
      <c r="B3" s="4" t="s">
        <v>41</v>
      </c>
    </row>
    <row r="4" spans="1:4" x14ac:dyDescent="0.3">
      <c r="A4" s="4" t="s">
        <v>43</v>
      </c>
      <c r="B4" t="s">
        <v>18</v>
      </c>
      <c r="C4" t="s">
        <v>15</v>
      </c>
      <c r="D4" t="s">
        <v>42</v>
      </c>
    </row>
    <row r="5" spans="1:4" x14ac:dyDescent="0.3">
      <c r="A5" s="5" t="s">
        <v>38</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42</v>
      </c>
      <c r="B7" s="3">
        <v>54874.759152215796</v>
      </c>
      <c r="C7" s="3">
        <v>57962.577962577961</v>
      </c>
      <c r="D7" s="3">
        <v>56360</v>
      </c>
    </row>
    <row r="20" spans="1:4" x14ac:dyDescent="0.3">
      <c r="A20" s="4" t="s">
        <v>45</v>
      </c>
      <c r="B20" s="4" t="s">
        <v>41</v>
      </c>
    </row>
    <row r="21" spans="1:4" x14ac:dyDescent="0.3">
      <c r="A21" s="4" t="s">
        <v>43</v>
      </c>
      <c r="B21" t="s">
        <v>18</v>
      </c>
      <c r="C21" t="s">
        <v>15</v>
      </c>
      <c r="D21" t="s">
        <v>42</v>
      </c>
    </row>
    <row r="22" spans="1:4" x14ac:dyDescent="0.3">
      <c r="A22" s="5" t="s">
        <v>16</v>
      </c>
      <c r="B22" s="6">
        <v>166</v>
      </c>
      <c r="C22" s="6">
        <v>200</v>
      </c>
      <c r="D22" s="6">
        <v>366</v>
      </c>
    </row>
    <row r="23" spans="1:4" x14ac:dyDescent="0.3">
      <c r="A23" s="5" t="s">
        <v>26</v>
      </c>
      <c r="B23" s="6">
        <v>92</v>
      </c>
      <c r="C23" s="6">
        <v>77</v>
      </c>
      <c r="D23" s="6">
        <v>169</v>
      </c>
    </row>
    <row r="24" spans="1:4" x14ac:dyDescent="0.3">
      <c r="A24" s="5" t="s">
        <v>22</v>
      </c>
      <c r="B24" s="6">
        <v>67</v>
      </c>
      <c r="C24" s="6">
        <v>95</v>
      </c>
      <c r="D24" s="6">
        <v>162</v>
      </c>
    </row>
    <row r="25" spans="1:4" x14ac:dyDescent="0.3">
      <c r="A25" s="5" t="s">
        <v>23</v>
      </c>
      <c r="B25" s="6">
        <v>116</v>
      </c>
      <c r="C25" s="6">
        <v>76</v>
      </c>
      <c r="D25" s="6">
        <v>192</v>
      </c>
    </row>
    <row r="26" spans="1:4" x14ac:dyDescent="0.3">
      <c r="A26" s="5" t="s">
        <v>46</v>
      </c>
      <c r="B26" s="6">
        <v>78</v>
      </c>
      <c r="C26" s="6">
        <v>33</v>
      </c>
      <c r="D26" s="6">
        <v>111</v>
      </c>
    </row>
    <row r="27" spans="1:4" x14ac:dyDescent="0.3">
      <c r="A27" s="5" t="s">
        <v>42</v>
      </c>
      <c r="B27" s="6">
        <v>519</v>
      </c>
      <c r="C27" s="6">
        <v>481</v>
      </c>
      <c r="D27" s="6">
        <v>1000</v>
      </c>
    </row>
    <row r="37" spans="1:4" x14ac:dyDescent="0.3">
      <c r="A37" s="4" t="s">
        <v>45</v>
      </c>
      <c r="B37" s="4" t="s">
        <v>41</v>
      </c>
    </row>
    <row r="38" spans="1:4" x14ac:dyDescent="0.3">
      <c r="A38" s="4" t="s">
        <v>43</v>
      </c>
      <c r="B38" t="s">
        <v>18</v>
      </c>
      <c r="C38" t="s">
        <v>15</v>
      </c>
      <c r="D38" t="s">
        <v>42</v>
      </c>
    </row>
    <row r="39" spans="1:4" x14ac:dyDescent="0.3">
      <c r="A39" s="5" t="s">
        <v>47</v>
      </c>
      <c r="B39" s="6">
        <v>71</v>
      </c>
      <c r="C39" s="6">
        <v>39</v>
      </c>
      <c r="D39" s="6">
        <v>110</v>
      </c>
    </row>
    <row r="40" spans="1:4" x14ac:dyDescent="0.3">
      <c r="A40" s="5" t="s">
        <v>48</v>
      </c>
      <c r="B40" s="6">
        <v>318</v>
      </c>
      <c r="C40" s="6">
        <v>383</v>
      </c>
      <c r="D40" s="6">
        <v>701</v>
      </c>
    </row>
    <row r="41" spans="1:4" x14ac:dyDescent="0.3">
      <c r="A41" s="5" t="s">
        <v>49</v>
      </c>
      <c r="B41" s="6">
        <v>130</v>
      </c>
      <c r="C41" s="6">
        <v>59</v>
      </c>
      <c r="D41" s="6">
        <v>189</v>
      </c>
    </row>
    <row r="42" spans="1:4" x14ac:dyDescent="0.3">
      <c r="A42" s="5" t="s">
        <v>42</v>
      </c>
      <c r="B42" s="6">
        <v>519</v>
      </c>
      <c r="C42" s="6">
        <v>481</v>
      </c>
      <c r="D42" s="6">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dc:creator>
  <cp:lastModifiedBy>Priyanka S</cp:lastModifiedBy>
  <dcterms:created xsi:type="dcterms:W3CDTF">2022-03-18T02:50:57Z</dcterms:created>
  <dcterms:modified xsi:type="dcterms:W3CDTF">2025-12-17T05:01:39Z</dcterms:modified>
</cp:coreProperties>
</file>