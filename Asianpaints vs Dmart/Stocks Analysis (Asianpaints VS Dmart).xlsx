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ka\IICS\Personal Projects\"/>
    </mc:Choice>
  </mc:AlternateContent>
  <xr:revisionPtr revIDLastSave="0" documentId="13_ncr:1_{B7D0CF1E-4654-478C-9006-B33F8378BB29}" xr6:coauthVersionLast="47" xr6:coauthVersionMax="47" xr10:uidLastSave="{00000000-0000-0000-0000-000000000000}"/>
  <bookViews>
    <workbookView xWindow="-108" yWindow="-108" windowWidth="23256" windowHeight="12456" activeTab="2" xr2:uid="{BCDF2B55-2E5E-4A4C-9025-08B32912B4DE}"/>
  </bookViews>
  <sheets>
    <sheet name="Dmart" sheetId="1" r:id="rId1"/>
    <sheet name="AsianPaints" sheetId="2" r:id="rId2"/>
    <sheet name="Dataset + 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" i="3" l="1"/>
  <c r="AB2" i="3" s="1"/>
  <c r="AB3" i="3" s="1"/>
  <c r="AB4" i="3" s="1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B198" i="3" s="1"/>
  <c r="AB199" i="3" s="1"/>
  <c r="AB200" i="3" s="1"/>
  <c r="AB201" i="3" s="1"/>
  <c r="AB202" i="3" s="1"/>
  <c r="AB203" i="3" s="1"/>
  <c r="AB204" i="3" s="1"/>
  <c r="AB205" i="3" s="1"/>
  <c r="AB206" i="3" s="1"/>
  <c r="AB207" i="3" s="1"/>
  <c r="AB208" i="3" s="1"/>
  <c r="AB209" i="3" s="1"/>
  <c r="AB210" i="3" s="1"/>
  <c r="AB211" i="3" s="1"/>
  <c r="AB212" i="3" s="1"/>
  <c r="AB213" i="3" s="1"/>
  <c r="AB214" i="3" s="1"/>
  <c r="AB215" i="3" s="1"/>
  <c r="AB216" i="3" s="1"/>
  <c r="AB217" i="3" s="1"/>
  <c r="AB218" i="3" s="1"/>
  <c r="AB219" i="3" s="1"/>
  <c r="AB220" i="3" s="1"/>
  <c r="AB221" i="3" s="1"/>
  <c r="AB222" i="3" s="1"/>
  <c r="AB223" i="3" s="1"/>
  <c r="AB224" i="3" s="1"/>
  <c r="AB225" i="3" s="1"/>
  <c r="AB226" i="3" s="1"/>
  <c r="AB227" i="3" s="1"/>
  <c r="AB228" i="3" s="1"/>
  <c r="AB229" i="3" s="1"/>
  <c r="AB230" i="3" s="1"/>
  <c r="AB231" i="3" s="1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 s="1"/>
  <c r="AB242" i="3" s="1"/>
  <c r="AB243" i="3" s="1"/>
  <c r="AB244" i="3" s="1"/>
  <c r="AB245" i="3" s="1"/>
  <c r="AB246" i="3" s="1"/>
  <c r="AB247" i="3" s="1"/>
  <c r="AB248" i="3" s="1"/>
  <c r="AB249" i="3" s="1"/>
  <c r="O5" i="3"/>
  <c r="R27" i="3" s="1"/>
  <c r="AA1" i="3"/>
  <c r="AA5" i="3" s="1"/>
  <c r="J22" i="1"/>
  <c r="J21" i="1"/>
  <c r="J20" i="1"/>
  <c r="J18" i="1"/>
  <c r="J19" i="1"/>
  <c r="R25" i="3" l="1"/>
  <c r="R24" i="3"/>
  <c r="R26" i="3"/>
  <c r="R23" i="3"/>
  <c r="AA207" i="3"/>
  <c r="AA159" i="3"/>
  <c r="AA111" i="3"/>
  <c r="AA206" i="3"/>
  <c r="AA244" i="3"/>
  <c r="AA100" i="3"/>
  <c r="AA52" i="3"/>
  <c r="AA147" i="3"/>
  <c r="AA51" i="3"/>
  <c r="AA146" i="3"/>
  <c r="AA184" i="3"/>
  <c r="AA231" i="3"/>
  <c r="AA230" i="3"/>
  <c r="AA220" i="3"/>
  <c r="AA76" i="3"/>
  <c r="AA219" i="3"/>
  <c r="AA171" i="3"/>
  <c r="AA123" i="3"/>
  <c r="AA75" i="3"/>
  <c r="AA27" i="3"/>
  <c r="AA63" i="3"/>
  <c r="AA158" i="3"/>
  <c r="AA62" i="3"/>
  <c r="AA148" i="3"/>
  <c r="AA195" i="3"/>
  <c r="AA242" i="3"/>
  <c r="AA98" i="3"/>
  <c r="AA50" i="3"/>
  <c r="AA136" i="3"/>
  <c r="AA40" i="3"/>
  <c r="AA135" i="3"/>
  <c r="AA182" i="3"/>
  <c r="AA86" i="3"/>
  <c r="AA38" i="3"/>
  <c r="AA124" i="3"/>
  <c r="AA218" i="3"/>
  <c r="AA170" i="3"/>
  <c r="AA122" i="3"/>
  <c r="AA74" i="3"/>
  <c r="AA16" i="3"/>
  <c r="AA110" i="3"/>
  <c r="AA196" i="3"/>
  <c r="AA243" i="3"/>
  <c r="AA99" i="3"/>
  <c r="AA194" i="3"/>
  <c r="AA232" i="3"/>
  <c r="AA88" i="3"/>
  <c r="AA183" i="3"/>
  <c r="AA87" i="3"/>
  <c r="AA39" i="3"/>
  <c r="AA134" i="3"/>
  <c r="AA172" i="3"/>
  <c r="AA28" i="3"/>
  <c r="AA208" i="3"/>
  <c r="AA160" i="3"/>
  <c r="AA112" i="3"/>
  <c r="AA64" i="3"/>
  <c r="AA15" i="3"/>
  <c r="AA217" i="3"/>
  <c r="AA181" i="3"/>
  <c r="AA145" i="3"/>
  <c r="AA109" i="3"/>
  <c r="AA73" i="3"/>
  <c r="AA37" i="3"/>
  <c r="AA13" i="3"/>
  <c r="AA2" i="3"/>
  <c r="AA204" i="3"/>
  <c r="AA168" i="3"/>
  <c r="AA132" i="3"/>
  <c r="AA96" i="3"/>
  <c r="AA72" i="3"/>
  <c r="AA36" i="3"/>
  <c r="AA12" i="3"/>
  <c r="AA4" i="3"/>
  <c r="AA215" i="3"/>
  <c r="AA179" i="3"/>
  <c r="AA143" i="3"/>
  <c r="AA95" i="3"/>
  <c r="AA47" i="3"/>
  <c r="AA238" i="3"/>
  <c r="AA202" i="3"/>
  <c r="AA154" i="3"/>
  <c r="AA118" i="3"/>
  <c r="AA82" i="3"/>
  <c r="AA46" i="3"/>
  <c r="AA22" i="3"/>
  <c r="AA10" i="3"/>
  <c r="AA225" i="3"/>
  <c r="AA189" i="3"/>
  <c r="AA153" i="3"/>
  <c r="AA117" i="3"/>
  <c r="AA81" i="3"/>
  <c r="AA33" i="3"/>
  <c r="AA236" i="3"/>
  <c r="AA200" i="3"/>
  <c r="AA164" i="3"/>
  <c r="AA128" i="3"/>
  <c r="AA92" i="3"/>
  <c r="AA44" i="3"/>
  <c r="AA247" i="3"/>
  <c r="AA235" i="3"/>
  <c r="AA223" i="3"/>
  <c r="AA211" i="3"/>
  <c r="AA199" i="3"/>
  <c r="AA187" i="3"/>
  <c r="AA175" i="3"/>
  <c r="AA163" i="3"/>
  <c r="AA151" i="3"/>
  <c r="AA139" i="3"/>
  <c r="AA127" i="3"/>
  <c r="AA115" i="3"/>
  <c r="AA103" i="3"/>
  <c r="AA91" i="3"/>
  <c r="AA79" i="3"/>
  <c r="AA67" i="3"/>
  <c r="AA55" i="3"/>
  <c r="AA43" i="3"/>
  <c r="AA31" i="3"/>
  <c r="AA19" i="3"/>
  <c r="AA7" i="3"/>
  <c r="AA26" i="3"/>
  <c r="AA241" i="3"/>
  <c r="AA205" i="3"/>
  <c r="AA157" i="3"/>
  <c r="AA121" i="3"/>
  <c r="AA85" i="3"/>
  <c r="AA49" i="3"/>
  <c r="AA25" i="3"/>
  <c r="AA228" i="3"/>
  <c r="AA192" i="3"/>
  <c r="AA144" i="3"/>
  <c r="AA108" i="3"/>
  <c r="AA60" i="3"/>
  <c r="AA239" i="3"/>
  <c r="AA203" i="3"/>
  <c r="AA167" i="3"/>
  <c r="AA119" i="3"/>
  <c r="AA83" i="3"/>
  <c r="AA59" i="3"/>
  <c r="AA23" i="3"/>
  <c r="AA3" i="3"/>
  <c r="AA214" i="3"/>
  <c r="AA178" i="3"/>
  <c r="AA142" i="3"/>
  <c r="AA106" i="3"/>
  <c r="AA70" i="3"/>
  <c r="AA249" i="3"/>
  <c r="AA213" i="3"/>
  <c r="AA177" i="3"/>
  <c r="AA141" i="3"/>
  <c r="AA105" i="3"/>
  <c r="AA69" i="3"/>
  <c r="AA45" i="3"/>
  <c r="AA21" i="3"/>
  <c r="AA9" i="3"/>
  <c r="AA224" i="3"/>
  <c r="AA176" i="3"/>
  <c r="AA140" i="3"/>
  <c r="AA104" i="3"/>
  <c r="AA68" i="3"/>
  <c r="AA32" i="3"/>
  <c r="AA246" i="3"/>
  <c r="AA234" i="3"/>
  <c r="AA222" i="3"/>
  <c r="AA210" i="3"/>
  <c r="AA198" i="3"/>
  <c r="AA186" i="3"/>
  <c r="AA174" i="3"/>
  <c r="AA162" i="3"/>
  <c r="AA150" i="3"/>
  <c r="AA138" i="3"/>
  <c r="AA126" i="3"/>
  <c r="AA114" i="3"/>
  <c r="AA102" i="3"/>
  <c r="AA90" i="3"/>
  <c r="AA78" i="3"/>
  <c r="AA66" i="3"/>
  <c r="AA54" i="3"/>
  <c r="AA42" i="3"/>
  <c r="AA30" i="3"/>
  <c r="AA18" i="3"/>
  <c r="AA6" i="3"/>
  <c r="AA14" i="3"/>
  <c r="AA229" i="3"/>
  <c r="AA193" i="3"/>
  <c r="AA169" i="3"/>
  <c r="AA133" i="3"/>
  <c r="AA97" i="3"/>
  <c r="AA61" i="3"/>
  <c r="AA240" i="3"/>
  <c r="AA216" i="3"/>
  <c r="AA180" i="3"/>
  <c r="AA156" i="3"/>
  <c r="AA120" i="3"/>
  <c r="AA84" i="3"/>
  <c r="AA48" i="3"/>
  <c r="AA24" i="3"/>
  <c r="AA227" i="3"/>
  <c r="AA191" i="3"/>
  <c r="AA155" i="3"/>
  <c r="AA131" i="3"/>
  <c r="AA107" i="3"/>
  <c r="AA71" i="3"/>
  <c r="AA35" i="3"/>
  <c r="AA11" i="3"/>
  <c r="AA226" i="3"/>
  <c r="AA190" i="3"/>
  <c r="AA166" i="3"/>
  <c r="AA130" i="3"/>
  <c r="AA94" i="3"/>
  <c r="AA58" i="3"/>
  <c r="AA34" i="3"/>
  <c r="AA237" i="3"/>
  <c r="AA201" i="3"/>
  <c r="AA165" i="3"/>
  <c r="AA129" i="3"/>
  <c r="AA93" i="3"/>
  <c r="AA57" i="3"/>
  <c r="AA248" i="3"/>
  <c r="AA212" i="3"/>
  <c r="AA188" i="3"/>
  <c r="AA152" i="3"/>
  <c r="AA116" i="3"/>
  <c r="AA80" i="3"/>
  <c r="AA56" i="3"/>
  <c r="AA20" i="3"/>
  <c r="AA8" i="3"/>
  <c r="AA245" i="3"/>
  <c r="AA233" i="3"/>
  <c r="AA221" i="3"/>
  <c r="AA209" i="3"/>
  <c r="AA197" i="3"/>
  <c r="AA185" i="3"/>
  <c r="AA173" i="3"/>
  <c r="AA161" i="3"/>
  <c r="AA149" i="3"/>
  <c r="AA137" i="3"/>
  <c r="AA125" i="3"/>
  <c r="AA113" i="3"/>
  <c r="AA101" i="3"/>
  <c r="AA89" i="3"/>
  <c r="AA77" i="3"/>
  <c r="AA65" i="3"/>
  <c r="AA53" i="3"/>
  <c r="AA41" i="3"/>
  <c r="AA29" i="3"/>
  <c r="AA17" i="3"/>
</calcChain>
</file>

<file path=xl/sharedStrings.xml><?xml version="1.0" encoding="utf-8"?>
<sst xmlns="http://schemas.openxmlformats.org/spreadsheetml/2006/main" count="44" uniqueCount="25">
  <si>
    <t>Date</t>
  </si>
  <si>
    <t>ASIANPAINTS Open</t>
  </si>
  <si>
    <t>ASIANPAINTS High</t>
  </si>
  <si>
    <t>ASIANPAINTS Low</t>
  </si>
  <si>
    <t>ASIANPAINTS Close</t>
  </si>
  <si>
    <t>ASIANPAINTS Adj Close</t>
  </si>
  <si>
    <t>ASIANPAINTS Volume</t>
  </si>
  <si>
    <t>DMART Open</t>
  </si>
  <si>
    <t>DMART High</t>
  </si>
  <si>
    <t>DMART Low</t>
  </si>
  <si>
    <t>DMART Close</t>
  </si>
  <si>
    <t>DMART Adj Close</t>
  </si>
  <si>
    <t>DMART Volume</t>
  </si>
  <si>
    <t>52 WEEK HIGH</t>
  </si>
  <si>
    <t>52 WEEK LOW</t>
  </si>
  <si>
    <t>Open</t>
  </si>
  <si>
    <t>High</t>
  </si>
  <si>
    <t>Low</t>
  </si>
  <si>
    <t>Close</t>
  </si>
  <si>
    <t xml:space="preserve"> Adj Close</t>
  </si>
  <si>
    <t>Volume</t>
  </si>
  <si>
    <t>Slicer</t>
  </si>
  <si>
    <t>52 Week High</t>
  </si>
  <si>
    <t>52 Week Low</t>
  </si>
  <si>
    <t>STOCK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</si>
</sst>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DMART SHARE</a:t>
            </a:r>
            <a:r>
              <a:rPr lang="en-IN" baseline="0"/>
              <a:t>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Dmart!$E$1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Dmart!$A$2:$A$249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Dmart!$E$2:$E$249</c:f>
              <c:numCache>
                <c:formatCode>General</c:formatCode>
                <c:ptCount val="248"/>
                <c:pt idx="0">
                  <c:v>2855.6000979999999</c:v>
                </c:pt>
                <c:pt idx="1">
                  <c:v>2796</c:v>
                </c:pt>
                <c:pt idx="2">
                  <c:v>2855.1999510000001</c:v>
                </c:pt>
                <c:pt idx="3">
                  <c:v>2837.5500489999999</c:v>
                </c:pt>
                <c:pt idx="4">
                  <c:v>2859.0500489999999</c:v>
                </c:pt>
                <c:pt idx="5">
                  <c:v>2912.6999510000001</c:v>
                </c:pt>
                <c:pt idx="6">
                  <c:v>2846.9499510000001</c:v>
                </c:pt>
                <c:pt idx="7">
                  <c:v>2843.6499020000001</c:v>
                </c:pt>
                <c:pt idx="8">
                  <c:v>2890.6499020000001</c:v>
                </c:pt>
                <c:pt idx="9">
                  <c:v>2936.5</c:v>
                </c:pt>
                <c:pt idx="10">
                  <c:v>2947.75</c:v>
                </c:pt>
                <c:pt idx="11">
                  <c:v>2814.8999020000001</c:v>
                </c:pt>
                <c:pt idx="12">
                  <c:v>2832.6999510000001</c:v>
                </c:pt>
                <c:pt idx="13">
                  <c:v>2928.8999020000001</c:v>
                </c:pt>
                <c:pt idx="14">
                  <c:v>2919.8999020000001</c:v>
                </c:pt>
                <c:pt idx="15">
                  <c:v>2850.75</c:v>
                </c:pt>
                <c:pt idx="16">
                  <c:v>2778.25</c:v>
                </c:pt>
                <c:pt idx="17">
                  <c:v>2717.6000979999999</c:v>
                </c:pt>
                <c:pt idx="18">
                  <c:v>2713.6999510000001</c:v>
                </c:pt>
                <c:pt idx="19">
                  <c:v>2808.25</c:v>
                </c:pt>
                <c:pt idx="20">
                  <c:v>2826.9499510000001</c:v>
                </c:pt>
                <c:pt idx="21">
                  <c:v>2936.8000489999999</c:v>
                </c:pt>
                <c:pt idx="22">
                  <c:v>2906.3500979999999</c:v>
                </c:pt>
                <c:pt idx="23">
                  <c:v>2852.8999020000001</c:v>
                </c:pt>
                <c:pt idx="24">
                  <c:v>2898.6499020000001</c:v>
                </c:pt>
                <c:pt idx="25">
                  <c:v>2858.3999020000001</c:v>
                </c:pt>
                <c:pt idx="26">
                  <c:v>2874.3999020000001</c:v>
                </c:pt>
                <c:pt idx="27">
                  <c:v>2878.1499020000001</c:v>
                </c:pt>
                <c:pt idx="28">
                  <c:v>2895.5</c:v>
                </c:pt>
                <c:pt idx="29">
                  <c:v>2852.4499510000001</c:v>
                </c:pt>
                <c:pt idx="30">
                  <c:v>2850.5500489999999</c:v>
                </c:pt>
                <c:pt idx="31">
                  <c:v>2856.1499020000001</c:v>
                </c:pt>
                <c:pt idx="32">
                  <c:v>2844.6499020000001</c:v>
                </c:pt>
                <c:pt idx="33">
                  <c:v>2898.6999510000001</c:v>
                </c:pt>
                <c:pt idx="34">
                  <c:v>3056.3000489999999</c:v>
                </c:pt>
                <c:pt idx="35">
                  <c:v>3027.8999020000001</c:v>
                </c:pt>
                <c:pt idx="36">
                  <c:v>3026.6000979999999</c:v>
                </c:pt>
                <c:pt idx="37">
                  <c:v>3034.1499020000001</c:v>
                </c:pt>
                <c:pt idx="38">
                  <c:v>3040.4499510000001</c:v>
                </c:pt>
                <c:pt idx="39">
                  <c:v>3103.8500979999999</c:v>
                </c:pt>
                <c:pt idx="40">
                  <c:v>3096.1999510000001</c:v>
                </c:pt>
                <c:pt idx="41">
                  <c:v>3025.5</c:v>
                </c:pt>
                <c:pt idx="42">
                  <c:v>3022.1000979999999</c:v>
                </c:pt>
                <c:pt idx="43">
                  <c:v>3069.3999020000001</c:v>
                </c:pt>
                <c:pt idx="44">
                  <c:v>3044.8000489999999</c:v>
                </c:pt>
                <c:pt idx="45">
                  <c:v>3066.1999510000001</c:v>
                </c:pt>
                <c:pt idx="46">
                  <c:v>3192.6999510000001</c:v>
                </c:pt>
                <c:pt idx="47">
                  <c:v>3197</c:v>
                </c:pt>
                <c:pt idx="48">
                  <c:v>3188.9499510000001</c:v>
                </c:pt>
                <c:pt idx="49">
                  <c:v>3179.8000489999999</c:v>
                </c:pt>
                <c:pt idx="50">
                  <c:v>3194.6999510000001</c:v>
                </c:pt>
                <c:pt idx="51">
                  <c:v>3194.5</c:v>
                </c:pt>
                <c:pt idx="52">
                  <c:v>3175.5500489999999</c:v>
                </c:pt>
                <c:pt idx="53">
                  <c:v>3274.1000979999999</c:v>
                </c:pt>
                <c:pt idx="54">
                  <c:v>3359.5</c:v>
                </c:pt>
                <c:pt idx="55">
                  <c:v>3310.3999020000001</c:v>
                </c:pt>
                <c:pt idx="56">
                  <c:v>3285.5500489999999</c:v>
                </c:pt>
                <c:pt idx="57">
                  <c:v>3317.6999510000001</c:v>
                </c:pt>
                <c:pt idx="58">
                  <c:v>3311</c:v>
                </c:pt>
                <c:pt idx="59">
                  <c:v>3373.8000489999999</c:v>
                </c:pt>
                <c:pt idx="60">
                  <c:v>3310.8999020000001</c:v>
                </c:pt>
                <c:pt idx="61">
                  <c:v>3323.8000489999999</c:v>
                </c:pt>
                <c:pt idx="62">
                  <c:v>3315.3500979999999</c:v>
                </c:pt>
                <c:pt idx="63">
                  <c:v>3332.1999510000001</c:v>
                </c:pt>
                <c:pt idx="64">
                  <c:v>3270.8500979999999</c:v>
                </c:pt>
                <c:pt idx="65">
                  <c:v>3344.1000979999999</c:v>
                </c:pt>
                <c:pt idx="66">
                  <c:v>3315.6499020000001</c:v>
                </c:pt>
                <c:pt idx="67">
                  <c:v>3314.3000489999999</c:v>
                </c:pt>
                <c:pt idx="68">
                  <c:v>3360.6499020000001</c:v>
                </c:pt>
                <c:pt idx="69">
                  <c:v>3364.6000979999999</c:v>
                </c:pt>
                <c:pt idx="70">
                  <c:v>3396.3999020000001</c:v>
                </c:pt>
                <c:pt idx="71">
                  <c:v>3389.1999510000001</c:v>
                </c:pt>
                <c:pt idx="72">
                  <c:v>3377.6000979999999</c:v>
                </c:pt>
                <c:pt idx="73">
                  <c:v>3349.0500489999999</c:v>
                </c:pt>
                <c:pt idx="74">
                  <c:v>3355</c:v>
                </c:pt>
                <c:pt idx="75">
                  <c:v>3330.0500489999999</c:v>
                </c:pt>
                <c:pt idx="76">
                  <c:v>3328.5</c:v>
                </c:pt>
                <c:pt idx="77">
                  <c:v>3349.1999510000001</c:v>
                </c:pt>
                <c:pt idx="78">
                  <c:v>3331.6000979999999</c:v>
                </c:pt>
                <c:pt idx="79">
                  <c:v>3397.3000489999999</c:v>
                </c:pt>
                <c:pt idx="80">
                  <c:v>3397.3500979999999</c:v>
                </c:pt>
                <c:pt idx="81">
                  <c:v>3413.1999510000001</c:v>
                </c:pt>
                <c:pt idx="82">
                  <c:v>3483.5500489999999</c:v>
                </c:pt>
                <c:pt idx="83">
                  <c:v>3499.3999020000001</c:v>
                </c:pt>
                <c:pt idx="84">
                  <c:v>3488.5</c:v>
                </c:pt>
                <c:pt idx="85">
                  <c:v>3502.6000979999999</c:v>
                </c:pt>
                <c:pt idx="86">
                  <c:v>3500.8000489999999</c:v>
                </c:pt>
                <c:pt idx="87">
                  <c:v>3502.3999020000001</c:v>
                </c:pt>
                <c:pt idx="88">
                  <c:v>3566.25</c:v>
                </c:pt>
                <c:pt idx="89">
                  <c:v>3593.0500489999999</c:v>
                </c:pt>
                <c:pt idx="90">
                  <c:v>3564.1499020000001</c:v>
                </c:pt>
                <c:pt idx="91">
                  <c:v>3529.1999510000001</c:v>
                </c:pt>
                <c:pt idx="92">
                  <c:v>3523</c:v>
                </c:pt>
                <c:pt idx="93">
                  <c:v>3551.6499020000001</c:v>
                </c:pt>
                <c:pt idx="94">
                  <c:v>3563.9499510000001</c:v>
                </c:pt>
                <c:pt idx="95">
                  <c:v>3561</c:v>
                </c:pt>
                <c:pt idx="96">
                  <c:v>3594.5500489999999</c:v>
                </c:pt>
                <c:pt idx="97">
                  <c:v>3633.5</c:v>
                </c:pt>
                <c:pt idx="98">
                  <c:v>3634.3500979999999</c:v>
                </c:pt>
                <c:pt idx="99">
                  <c:v>3650.6000979999999</c:v>
                </c:pt>
                <c:pt idx="100">
                  <c:v>3643.1000979999999</c:v>
                </c:pt>
                <c:pt idx="101">
                  <c:v>3673.75</c:v>
                </c:pt>
                <c:pt idx="102">
                  <c:v>3708.5500489999999</c:v>
                </c:pt>
                <c:pt idx="103">
                  <c:v>3789.6999510000001</c:v>
                </c:pt>
                <c:pt idx="104">
                  <c:v>3847.8000489999999</c:v>
                </c:pt>
                <c:pt idx="105">
                  <c:v>3833.0500489999999</c:v>
                </c:pt>
                <c:pt idx="106">
                  <c:v>3888.3500979999999</c:v>
                </c:pt>
                <c:pt idx="107">
                  <c:v>3954.8000489999999</c:v>
                </c:pt>
                <c:pt idx="108">
                  <c:v>3968.6000979999999</c:v>
                </c:pt>
                <c:pt idx="109">
                  <c:v>3917.6499020000001</c:v>
                </c:pt>
                <c:pt idx="110">
                  <c:v>3938.8999020000001</c:v>
                </c:pt>
                <c:pt idx="111">
                  <c:v>3921.3000489999999</c:v>
                </c:pt>
                <c:pt idx="112">
                  <c:v>3937.5500489999999</c:v>
                </c:pt>
                <c:pt idx="113">
                  <c:v>3932.9499510000001</c:v>
                </c:pt>
                <c:pt idx="114">
                  <c:v>3950.5</c:v>
                </c:pt>
                <c:pt idx="115">
                  <c:v>3961.8500979999999</c:v>
                </c:pt>
                <c:pt idx="116">
                  <c:v>3979.6999510000001</c:v>
                </c:pt>
                <c:pt idx="117">
                  <c:v>3982.6000979999999</c:v>
                </c:pt>
                <c:pt idx="118">
                  <c:v>4084.5</c:v>
                </c:pt>
                <c:pt idx="119">
                  <c:v>4239.6499020000001</c:v>
                </c:pt>
                <c:pt idx="120">
                  <c:v>4355.8999020000001</c:v>
                </c:pt>
                <c:pt idx="121">
                  <c:v>4361.9501950000003</c:v>
                </c:pt>
                <c:pt idx="122">
                  <c:v>4378.6499020000001</c:v>
                </c:pt>
                <c:pt idx="123">
                  <c:v>4409.8999020000001</c:v>
                </c:pt>
                <c:pt idx="124">
                  <c:v>4422.3500979999999</c:v>
                </c:pt>
                <c:pt idx="125">
                  <c:v>4385.75</c:v>
                </c:pt>
                <c:pt idx="126">
                  <c:v>4315.75</c:v>
                </c:pt>
                <c:pt idx="127">
                  <c:v>4251.2001950000003</c:v>
                </c:pt>
                <c:pt idx="128">
                  <c:v>4250.2001950000003</c:v>
                </c:pt>
                <c:pt idx="129">
                  <c:v>4235.6000979999999</c:v>
                </c:pt>
                <c:pt idx="130">
                  <c:v>4257.3500979999999</c:v>
                </c:pt>
                <c:pt idx="131">
                  <c:v>4257.2998049999997</c:v>
                </c:pt>
                <c:pt idx="132">
                  <c:v>4218.5498049999997</c:v>
                </c:pt>
                <c:pt idx="133">
                  <c:v>4311.7001950000003</c:v>
                </c:pt>
                <c:pt idx="134">
                  <c:v>4407.9501950000003</c:v>
                </c:pt>
                <c:pt idx="135">
                  <c:v>4719.4501950000003</c:v>
                </c:pt>
                <c:pt idx="136">
                  <c:v>4739</c:v>
                </c:pt>
                <c:pt idx="137">
                  <c:v>5117.1499020000001</c:v>
                </c:pt>
                <c:pt idx="138">
                  <c:v>5323.75</c:v>
                </c:pt>
                <c:pt idx="139">
                  <c:v>4897.7998049999997</c:v>
                </c:pt>
                <c:pt idx="140">
                  <c:v>4754.5498049999997</c:v>
                </c:pt>
                <c:pt idx="141">
                  <c:v>4596.3999020000001</c:v>
                </c:pt>
                <c:pt idx="142">
                  <c:v>4521.25</c:v>
                </c:pt>
                <c:pt idx="143">
                  <c:v>4521.4501950000003</c:v>
                </c:pt>
                <c:pt idx="144">
                  <c:v>4400.6000979999999</c:v>
                </c:pt>
                <c:pt idx="145">
                  <c:v>4568.5</c:v>
                </c:pt>
                <c:pt idx="146">
                  <c:v>4733</c:v>
                </c:pt>
                <c:pt idx="147">
                  <c:v>4675.6499020000001</c:v>
                </c:pt>
                <c:pt idx="148">
                  <c:v>4635.4501950000003</c:v>
                </c:pt>
                <c:pt idx="149">
                  <c:v>4564.75</c:v>
                </c:pt>
                <c:pt idx="150">
                  <c:v>4597.0498049999997</c:v>
                </c:pt>
                <c:pt idx="151">
                  <c:v>4741.2998049999997</c:v>
                </c:pt>
                <c:pt idx="152">
                  <c:v>4783.7001950000003</c:v>
                </c:pt>
                <c:pt idx="153">
                  <c:v>4748.5</c:v>
                </c:pt>
                <c:pt idx="154">
                  <c:v>4757.1499020000001</c:v>
                </c:pt>
                <c:pt idx="155">
                  <c:v>4960.2998049999997</c:v>
                </c:pt>
                <c:pt idx="156">
                  <c:v>4997.75</c:v>
                </c:pt>
                <c:pt idx="157">
                  <c:v>5078.5498049999997</c:v>
                </c:pt>
                <c:pt idx="158">
                  <c:v>5023.2998049999997</c:v>
                </c:pt>
                <c:pt idx="159">
                  <c:v>5081.5</c:v>
                </c:pt>
                <c:pt idx="160">
                  <c:v>5126.3999020000001</c:v>
                </c:pt>
                <c:pt idx="161">
                  <c:v>5080.8999020000001</c:v>
                </c:pt>
                <c:pt idx="162">
                  <c:v>4828.2998049999997</c:v>
                </c:pt>
                <c:pt idx="163">
                  <c:v>4843.2998049999997</c:v>
                </c:pt>
                <c:pt idx="164">
                  <c:v>4882.6000979999999</c:v>
                </c:pt>
                <c:pt idx="165">
                  <c:v>4894.5</c:v>
                </c:pt>
                <c:pt idx="166">
                  <c:v>4718.75</c:v>
                </c:pt>
                <c:pt idx="167">
                  <c:v>4673.3500979999999</c:v>
                </c:pt>
                <c:pt idx="168">
                  <c:v>4710.8999020000001</c:v>
                </c:pt>
                <c:pt idx="169">
                  <c:v>4693.7001950000003</c:v>
                </c:pt>
                <c:pt idx="170">
                  <c:v>4782.9501950000003</c:v>
                </c:pt>
                <c:pt idx="171">
                  <c:v>4799.0498049999997</c:v>
                </c:pt>
                <c:pt idx="172">
                  <c:v>4593.4501950000003</c:v>
                </c:pt>
                <c:pt idx="173">
                  <c:v>4660.6499020000001</c:v>
                </c:pt>
                <c:pt idx="174">
                  <c:v>4814.6000979999999</c:v>
                </c:pt>
                <c:pt idx="175">
                  <c:v>4821.2001950000003</c:v>
                </c:pt>
                <c:pt idx="176">
                  <c:v>4796.6000979999999</c:v>
                </c:pt>
                <c:pt idx="177">
                  <c:v>4765.7998049999997</c:v>
                </c:pt>
                <c:pt idx="178">
                  <c:v>4814.3999020000001</c:v>
                </c:pt>
                <c:pt idx="179">
                  <c:v>4749.4501950000003</c:v>
                </c:pt>
                <c:pt idx="180">
                  <c:v>4742.1000979999999</c:v>
                </c:pt>
                <c:pt idx="181">
                  <c:v>4697.7998049999997</c:v>
                </c:pt>
                <c:pt idx="182">
                  <c:v>4618.9501950000003</c:v>
                </c:pt>
                <c:pt idx="183">
                  <c:v>4587.3999020000001</c:v>
                </c:pt>
                <c:pt idx="184">
                  <c:v>4655.8500979999999</c:v>
                </c:pt>
                <c:pt idx="185">
                  <c:v>4647.8999020000001</c:v>
                </c:pt>
                <c:pt idx="186">
                  <c:v>4628.8999020000001</c:v>
                </c:pt>
                <c:pt idx="187">
                  <c:v>4668.6499020000001</c:v>
                </c:pt>
                <c:pt idx="188">
                  <c:v>4721.9501950000003</c:v>
                </c:pt>
                <c:pt idx="189">
                  <c:v>4683.9501950000003</c:v>
                </c:pt>
                <c:pt idx="190">
                  <c:v>4639.3500979999999</c:v>
                </c:pt>
                <c:pt idx="191">
                  <c:v>4671.4501950000003</c:v>
                </c:pt>
                <c:pt idx="192">
                  <c:v>4711.5</c:v>
                </c:pt>
                <c:pt idx="193">
                  <c:v>4726.9501950000003</c:v>
                </c:pt>
                <c:pt idx="194">
                  <c:v>4687.3999020000001</c:v>
                </c:pt>
                <c:pt idx="195">
                  <c:v>4705.6499020000001</c:v>
                </c:pt>
                <c:pt idx="196">
                  <c:v>4731.3500979999999</c:v>
                </c:pt>
                <c:pt idx="197">
                  <c:v>4633.5498049999997</c:v>
                </c:pt>
                <c:pt idx="198">
                  <c:v>4504.8999020000001</c:v>
                </c:pt>
                <c:pt idx="199">
                  <c:v>4276.1000979999999</c:v>
                </c:pt>
                <c:pt idx="200">
                  <c:v>4254.6000979999999</c:v>
                </c:pt>
                <c:pt idx="201">
                  <c:v>4322.7001950000003</c:v>
                </c:pt>
                <c:pt idx="202">
                  <c:v>4400.5</c:v>
                </c:pt>
                <c:pt idx="203">
                  <c:v>4441.1499020000001</c:v>
                </c:pt>
                <c:pt idx="204">
                  <c:v>4483.3999020000001</c:v>
                </c:pt>
                <c:pt idx="205">
                  <c:v>4483.5498049999997</c:v>
                </c:pt>
                <c:pt idx="206">
                  <c:v>4299.7998049999997</c:v>
                </c:pt>
                <c:pt idx="207">
                  <c:v>4035.3000489999999</c:v>
                </c:pt>
                <c:pt idx="208">
                  <c:v>4095.4499510000001</c:v>
                </c:pt>
                <c:pt idx="209">
                  <c:v>4063.3000489999999</c:v>
                </c:pt>
                <c:pt idx="210">
                  <c:v>4076</c:v>
                </c:pt>
                <c:pt idx="211">
                  <c:v>4114.3500979999999</c:v>
                </c:pt>
                <c:pt idx="212">
                  <c:v>4225.6000979999999</c:v>
                </c:pt>
                <c:pt idx="213">
                  <c:v>4236.6499020000001</c:v>
                </c:pt>
                <c:pt idx="214">
                  <c:v>4140</c:v>
                </c:pt>
                <c:pt idx="215">
                  <c:v>4081.8999020000001</c:v>
                </c:pt>
                <c:pt idx="216">
                  <c:v>4073.5500489999999</c:v>
                </c:pt>
                <c:pt idx="217">
                  <c:v>4015</c:v>
                </c:pt>
                <c:pt idx="218">
                  <c:v>4002.1000979999999</c:v>
                </c:pt>
                <c:pt idx="219">
                  <c:v>4162.7001950000003</c:v>
                </c:pt>
                <c:pt idx="220">
                  <c:v>4142.25</c:v>
                </c:pt>
                <c:pt idx="221">
                  <c:v>3979.75</c:v>
                </c:pt>
                <c:pt idx="222">
                  <c:v>4081.75</c:v>
                </c:pt>
                <c:pt idx="223">
                  <c:v>4051.1499020000001</c:v>
                </c:pt>
                <c:pt idx="224">
                  <c:v>4115.3999020000001</c:v>
                </c:pt>
                <c:pt idx="225">
                  <c:v>4073.1000979999999</c:v>
                </c:pt>
                <c:pt idx="226">
                  <c:v>4096.6000979999999</c:v>
                </c:pt>
                <c:pt idx="227">
                  <c:v>4157.1000979999999</c:v>
                </c:pt>
                <c:pt idx="228">
                  <c:v>4193.4501950000003</c:v>
                </c:pt>
                <c:pt idx="229">
                  <c:v>4014.6499020000001</c:v>
                </c:pt>
                <c:pt idx="230">
                  <c:v>4190.75</c:v>
                </c:pt>
                <c:pt idx="231">
                  <c:v>4340.3500979999999</c:v>
                </c:pt>
                <c:pt idx="232">
                  <c:v>4295.1499020000001</c:v>
                </c:pt>
                <c:pt idx="233">
                  <c:v>4276.5</c:v>
                </c:pt>
                <c:pt idx="234">
                  <c:v>4110.2001950000003</c:v>
                </c:pt>
                <c:pt idx="235">
                  <c:v>3991.6499020000001</c:v>
                </c:pt>
                <c:pt idx="236">
                  <c:v>4124</c:v>
                </c:pt>
                <c:pt idx="237">
                  <c:v>4096.7001950000003</c:v>
                </c:pt>
                <c:pt idx="238">
                  <c:v>4168.6000979999999</c:v>
                </c:pt>
                <c:pt idx="239">
                  <c:v>4198.9501950000003</c:v>
                </c:pt>
                <c:pt idx="240">
                  <c:v>4168.25</c:v>
                </c:pt>
                <c:pt idx="241">
                  <c:v>4231.0498049999997</c:v>
                </c:pt>
                <c:pt idx="242">
                  <c:v>4169.5498049999997</c:v>
                </c:pt>
                <c:pt idx="243">
                  <c:v>4192.75</c:v>
                </c:pt>
                <c:pt idx="244">
                  <c:v>4095.1999510000001</c:v>
                </c:pt>
                <c:pt idx="245">
                  <c:v>4054</c:v>
                </c:pt>
                <c:pt idx="246">
                  <c:v>4091.3500979999999</c:v>
                </c:pt>
                <c:pt idx="247">
                  <c:v>4042.8500979999999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C-4A26-8CA5-44A559A8D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927439"/>
        <c:axId val="633924079"/>
      </c:lineChart>
      <c:dateAx>
        <c:axId val="633927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24079"/>
        <c:crosses val="autoZero"/>
        <c:auto val="1"/>
        <c:lblOffset val="100"/>
        <c:baseTimeUnit val="days"/>
      </c:dateAx>
      <c:valAx>
        <c:axId val="6339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2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AsianPaints!$E$1</c:f>
              <c:strCache>
                <c:ptCount val="1"/>
                <c:pt idx="0">
                  <c:v>ASIANPAINTS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AsianPaints!$A$2:$A$249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AsianPaints!$E$2:$E$249</c:f>
              <c:numCache>
                <c:formatCode>General</c:formatCode>
                <c:ptCount val="248"/>
                <c:pt idx="0">
                  <c:v>2443.5500489999999</c:v>
                </c:pt>
                <c:pt idx="1">
                  <c:v>2402.1999510000001</c:v>
                </c:pt>
                <c:pt idx="2">
                  <c:v>2505.1499020000001</c:v>
                </c:pt>
                <c:pt idx="3">
                  <c:v>2578.0500489999999</c:v>
                </c:pt>
                <c:pt idx="4">
                  <c:v>2537.3999020000001</c:v>
                </c:pt>
                <c:pt idx="5">
                  <c:v>2551.75</c:v>
                </c:pt>
                <c:pt idx="6">
                  <c:v>2510.6499020000001</c:v>
                </c:pt>
                <c:pt idx="7">
                  <c:v>2611.6000979999999</c:v>
                </c:pt>
                <c:pt idx="8">
                  <c:v>2628.6000979999999</c:v>
                </c:pt>
                <c:pt idx="9">
                  <c:v>2650.6499020000001</c:v>
                </c:pt>
                <c:pt idx="10">
                  <c:v>2630.8000489999999</c:v>
                </c:pt>
                <c:pt idx="11">
                  <c:v>2602.1999510000001</c:v>
                </c:pt>
                <c:pt idx="12">
                  <c:v>2570.6999510000001</c:v>
                </c:pt>
                <c:pt idx="13">
                  <c:v>2587.6999510000001</c:v>
                </c:pt>
                <c:pt idx="14">
                  <c:v>2663.6999510000001</c:v>
                </c:pt>
                <c:pt idx="15">
                  <c:v>2571.8999020000001</c:v>
                </c:pt>
                <c:pt idx="16">
                  <c:v>2553.6499020000001</c:v>
                </c:pt>
                <c:pt idx="17">
                  <c:v>2511.25</c:v>
                </c:pt>
                <c:pt idx="18">
                  <c:v>2517.9499510000001</c:v>
                </c:pt>
                <c:pt idx="19">
                  <c:v>2557.8999020000001</c:v>
                </c:pt>
                <c:pt idx="20">
                  <c:v>2574.3500979999999</c:v>
                </c:pt>
                <c:pt idx="21">
                  <c:v>2614.5500489999999</c:v>
                </c:pt>
                <c:pt idx="22">
                  <c:v>2613.4499510000001</c:v>
                </c:pt>
                <c:pt idx="23">
                  <c:v>2536.3999020000001</c:v>
                </c:pt>
                <c:pt idx="24">
                  <c:v>2582.1499020000001</c:v>
                </c:pt>
                <c:pt idx="25">
                  <c:v>2587.1499020000001</c:v>
                </c:pt>
                <c:pt idx="26">
                  <c:v>2567.6499020000001</c:v>
                </c:pt>
                <c:pt idx="27">
                  <c:v>2549.0500489999999</c:v>
                </c:pt>
                <c:pt idx="28">
                  <c:v>2551.6499020000001</c:v>
                </c:pt>
                <c:pt idx="29">
                  <c:v>2556.9499510000001</c:v>
                </c:pt>
                <c:pt idx="30">
                  <c:v>2556.25</c:v>
                </c:pt>
                <c:pt idx="31">
                  <c:v>2556.1999510000001</c:v>
                </c:pt>
                <c:pt idx="32">
                  <c:v>2774.5</c:v>
                </c:pt>
                <c:pt idx="33">
                  <c:v>2782.75</c:v>
                </c:pt>
                <c:pt idx="34">
                  <c:v>2821.8000489999999</c:v>
                </c:pt>
                <c:pt idx="35">
                  <c:v>2815.8500979999999</c:v>
                </c:pt>
                <c:pt idx="36">
                  <c:v>2794.1000979999999</c:v>
                </c:pt>
                <c:pt idx="37">
                  <c:v>2832.5</c:v>
                </c:pt>
                <c:pt idx="38">
                  <c:v>2819.1999510000001</c:v>
                </c:pt>
                <c:pt idx="39">
                  <c:v>2914.3999020000001</c:v>
                </c:pt>
                <c:pt idx="40">
                  <c:v>2941.6000979999999</c:v>
                </c:pt>
                <c:pt idx="41">
                  <c:v>2949.3500979999999</c:v>
                </c:pt>
                <c:pt idx="42">
                  <c:v>2940.6999510000001</c:v>
                </c:pt>
                <c:pt idx="43">
                  <c:v>2977.5</c:v>
                </c:pt>
                <c:pt idx="44">
                  <c:v>2931</c:v>
                </c:pt>
                <c:pt idx="45">
                  <c:v>2903.6999510000001</c:v>
                </c:pt>
                <c:pt idx="46">
                  <c:v>2935.3500979999999</c:v>
                </c:pt>
                <c:pt idx="47">
                  <c:v>2924.8999020000001</c:v>
                </c:pt>
                <c:pt idx="48">
                  <c:v>2933.1000979999999</c:v>
                </c:pt>
                <c:pt idx="49">
                  <c:v>2926.25</c:v>
                </c:pt>
                <c:pt idx="50">
                  <c:v>2943.5500489999999</c:v>
                </c:pt>
                <c:pt idx="51">
                  <c:v>2950.6000979999999</c:v>
                </c:pt>
                <c:pt idx="52">
                  <c:v>2956.25</c:v>
                </c:pt>
                <c:pt idx="53">
                  <c:v>2949.8999020000001</c:v>
                </c:pt>
                <c:pt idx="54">
                  <c:v>3042.1999510000001</c:v>
                </c:pt>
                <c:pt idx="55">
                  <c:v>3018.6999510000001</c:v>
                </c:pt>
                <c:pt idx="56">
                  <c:v>3060.3000489999999</c:v>
                </c:pt>
                <c:pt idx="57">
                  <c:v>3047.1999510000001</c:v>
                </c:pt>
                <c:pt idx="58">
                  <c:v>3068.5500489999999</c:v>
                </c:pt>
                <c:pt idx="59">
                  <c:v>3010.8000489999999</c:v>
                </c:pt>
                <c:pt idx="60">
                  <c:v>2987.3500979999999</c:v>
                </c:pt>
                <c:pt idx="61">
                  <c:v>3043.25</c:v>
                </c:pt>
                <c:pt idx="62">
                  <c:v>3003.8999020000001</c:v>
                </c:pt>
                <c:pt idx="63">
                  <c:v>2982.9499510000001</c:v>
                </c:pt>
                <c:pt idx="64">
                  <c:v>3001.5</c:v>
                </c:pt>
                <c:pt idx="65">
                  <c:v>2992.6999510000001</c:v>
                </c:pt>
                <c:pt idx="66">
                  <c:v>3021.6000979999999</c:v>
                </c:pt>
                <c:pt idx="67">
                  <c:v>3005</c:v>
                </c:pt>
                <c:pt idx="68">
                  <c:v>3014.8000489999999</c:v>
                </c:pt>
                <c:pt idx="69">
                  <c:v>3002.5</c:v>
                </c:pt>
                <c:pt idx="70">
                  <c:v>3040.1000979999999</c:v>
                </c:pt>
                <c:pt idx="71">
                  <c:v>3028.3000489999999</c:v>
                </c:pt>
                <c:pt idx="72">
                  <c:v>3010.6000979999999</c:v>
                </c:pt>
                <c:pt idx="73">
                  <c:v>2999.3999020000001</c:v>
                </c:pt>
                <c:pt idx="74">
                  <c:v>2993.8500979999999</c:v>
                </c:pt>
                <c:pt idx="75">
                  <c:v>3001.9499510000001</c:v>
                </c:pt>
                <c:pt idx="76">
                  <c:v>2983.6000979999999</c:v>
                </c:pt>
                <c:pt idx="77">
                  <c:v>2989.3000489999999</c:v>
                </c:pt>
                <c:pt idx="78">
                  <c:v>2981.9499510000001</c:v>
                </c:pt>
                <c:pt idx="79">
                  <c:v>3159.0500489999999</c:v>
                </c:pt>
                <c:pt idx="80">
                  <c:v>3106.75</c:v>
                </c:pt>
                <c:pt idx="81">
                  <c:v>3083.75</c:v>
                </c:pt>
                <c:pt idx="82">
                  <c:v>3061.1999510000001</c:v>
                </c:pt>
                <c:pt idx="83">
                  <c:v>3028.6499020000001</c:v>
                </c:pt>
                <c:pt idx="84">
                  <c:v>3004.1000979999999</c:v>
                </c:pt>
                <c:pt idx="85">
                  <c:v>2997.4499510000001</c:v>
                </c:pt>
                <c:pt idx="86">
                  <c:v>2958.4499510000001</c:v>
                </c:pt>
                <c:pt idx="87">
                  <c:v>2974.0500489999999</c:v>
                </c:pt>
                <c:pt idx="88">
                  <c:v>3027</c:v>
                </c:pt>
                <c:pt idx="89">
                  <c:v>3018.6000979999999</c:v>
                </c:pt>
                <c:pt idx="90">
                  <c:v>2988.3999020000001</c:v>
                </c:pt>
                <c:pt idx="91">
                  <c:v>2966.4499510000001</c:v>
                </c:pt>
                <c:pt idx="92">
                  <c:v>2992.5500489999999</c:v>
                </c:pt>
                <c:pt idx="93">
                  <c:v>2977.1499020000001</c:v>
                </c:pt>
                <c:pt idx="94">
                  <c:v>2972.6000979999999</c:v>
                </c:pt>
                <c:pt idx="95">
                  <c:v>2975.5</c:v>
                </c:pt>
                <c:pt idx="96">
                  <c:v>2988.6999510000001</c:v>
                </c:pt>
                <c:pt idx="97">
                  <c:v>2971.3999020000001</c:v>
                </c:pt>
                <c:pt idx="98">
                  <c:v>3015.3000489999999</c:v>
                </c:pt>
                <c:pt idx="99">
                  <c:v>3001.5500489999999</c:v>
                </c:pt>
                <c:pt idx="100">
                  <c:v>3112.9499510000001</c:v>
                </c:pt>
                <c:pt idx="101">
                  <c:v>3077.4499510000001</c:v>
                </c:pt>
                <c:pt idx="102">
                  <c:v>3045.9499510000001</c:v>
                </c:pt>
                <c:pt idx="103">
                  <c:v>3038.0500489999999</c:v>
                </c:pt>
                <c:pt idx="104">
                  <c:v>3039.6499020000001</c:v>
                </c:pt>
                <c:pt idx="105">
                  <c:v>3036.8000489999999</c:v>
                </c:pt>
                <c:pt idx="106">
                  <c:v>3108.75</c:v>
                </c:pt>
                <c:pt idx="107">
                  <c:v>3201.3500979999999</c:v>
                </c:pt>
                <c:pt idx="108">
                  <c:v>3302.75</c:v>
                </c:pt>
                <c:pt idx="109">
                  <c:v>3301.6000979999999</c:v>
                </c:pt>
                <c:pt idx="110">
                  <c:v>3338.8000489999999</c:v>
                </c:pt>
                <c:pt idx="111">
                  <c:v>3315.5500489999999</c:v>
                </c:pt>
                <c:pt idx="112">
                  <c:v>3336.25</c:v>
                </c:pt>
                <c:pt idx="113">
                  <c:v>3336.6000979999999</c:v>
                </c:pt>
                <c:pt idx="114">
                  <c:v>3346.3500979999999</c:v>
                </c:pt>
                <c:pt idx="115">
                  <c:v>3367.0500489999999</c:v>
                </c:pt>
                <c:pt idx="116">
                  <c:v>3362.5</c:v>
                </c:pt>
                <c:pt idx="117">
                  <c:v>3352.3000489999999</c:v>
                </c:pt>
                <c:pt idx="118">
                  <c:v>3342.1000979999999</c:v>
                </c:pt>
                <c:pt idx="119">
                  <c:v>3303.0500489999999</c:v>
                </c:pt>
                <c:pt idx="120">
                  <c:v>3271.5500489999999</c:v>
                </c:pt>
                <c:pt idx="121">
                  <c:v>3309.1999510000001</c:v>
                </c:pt>
                <c:pt idx="122">
                  <c:v>3317.5</c:v>
                </c:pt>
                <c:pt idx="123">
                  <c:v>3320.6499020000001</c:v>
                </c:pt>
                <c:pt idx="124">
                  <c:v>3448.6000979999999</c:v>
                </c:pt>
                <c:pt idx="125">
                  <c:v>3430.6499020000001</c:v>
                </c:pt>
                <c:pt idx="126">
                  <c:v>3379.6999510000001</c:v>
                </c:pt>
                <c:pt idx="127">
                  <c:v>3323.0500489999999</c:v>
                </c:pt>
                <c:pt idx="128">
                  <c:v>3244.6499020000001</c:v>
                </c:pt>
                <c:pt idx="129">
                  <c:v>3177.8500979999999</c:v>
                </c:pt>
                <c:pt idx="130">
                  <c:v>3201.6000979999999</c:v>
                </c:pt>
                <c:pt idx="131">
                  <c:v>3254.75</c:v>
                </c:pt>
                <c:pt idx="132">
                  <c:v>3212.25</c:v>
                </c:pt>
                <c:pt idx="133">
                  <c:v>3290.8500979999999</c:v>
                </c:pt>
                <c:pt idx="134">
                  <c:v>3306.8999020000001</c:v>
                </c:pt>
                <c:pt idx="135">
                  <c:v>3306.0500489999999</c:v>
                </c:pt>
                <c:pt idx="136">
                  <c:v>3323.25</c:v>
                </c:pt>
                <c:pt idx="137">
                  <c:v>3323.5</c:v>
                </c:pt>
                <c:pt idx="138">
                  <c:v>3297.8000489999999</c:v>
                </c:pt>
                <c:pt idx="139">
                  <c:v>3241.5</c:v>
                </c:pt>
                <c:pt idx="140">
                  <c:v>3183.75</c:v>
                </c:pt>
                <c:pt idx="141">
                  <c:v>3169.6000979999999</c:v>
                </c:pt>
                <c:pt idx="142">
                  <c:v>3002</c:v>
                </c:pt>
                <c:pt idx="143">
                  <c:v>2982.3999020000001</c:v>
                </c:pt>
                <c:pt idx="144">
                  <c:v>2918.0500489999999</c:v>
                </c:pt>
                <c:pt idx="145">
                  <c:v>2969.8000489999999</c:v>
                </c:pt>
                <c:pt idx="146">
                  <c:v>3094.6499020000001</c:v>
                </c:pt>
                <c:pt idx="147">
                  <c:v>3116.3000489999999</c:v>
                </c:pt>
                <c:pt idx="148">
                  <c:v>3100.1000979999999</c:v>
                </c:pt>
                <c:pt idx="149">
                  <c:v>3121.8000489999999</c:v>
                </c:pt>
                <c:pt idx="150">
                  <c:v>3103.3500979999999</c:v>
                </c:pt>
                <c:pt idx="151">
                  <c:v>3170.6499020000001</c:v>
                </c:pt>
                <c:pt idx="152">
                  <c:v>3159.25</c:v>
                </c:pt>
                <c:pt idx="153">
                  <c:v>3138</c:v>
                </c:pt>
                <c:pt idx="154">
                  <c:v>3145.1499020000001</c:v>
                </c:pt>
                <c:pt idx="155">
                  <c:v>3108.3000489999999</c:v>
                </c:pt>
                <c:pt idx="156">
                  <c:v>3063.5</c:v>
                </c:pt>
                <c:pt idx="157">
                  <c:v>3122.8999020000001</c:v>
                </c:pt>
                <c:pt idx="158">
                  <c:v>3168.6999510000001</c:v>
                </c:pt>
                <c:pt idx="159">
                  <c:v>3151.6999510000001</c:v>
                </c:pt>
                <c:pt idx="160">
                  <c:v>3230.25</c:v>
                </c:pt>
                <c:pt idx="161">
                  <c:v>3226.8500979999999</c:v>
                </c:pt>
                <c:pt idx="162">
                  <c:v>3261.25</c:v>
                </c:pt>
                <c:pt idx="163">
                  <c:v>3185.5500489999999</c:v>
                </c:pt>
                <c:pt idx="164">
                  <c:v>3157</c:v>
                </c:pt>
                <c:pt idx="165">
                  <c:v>3144.25</c:v>
                </c:pt>
                <c:pt idx="166">
                  <c:v>3143.1000979999999</c:v>
                </c:pt>
                <c:pt idx="167">
                  <c:v>3144.3000489999999</c:v>
                </c:pt>
                <c:pt idx="168">
                  <c:v>3143.6499020000001</c:v>
                </c:pt>
                <c:pt idx="169">
                  <c:v>3138.1499020000001</c:v>
                </c:pt>
                <c:pt idx="170">
                  <c:v>3180.6000979999999</c:v>
                </c:pt>
                <c:pt idx="171">
                  <c:v>3110.4499510000001</c:v>
                </c:pt>
                <c:pt idx="172">
                  <c:v>3038.3000489999999</c:v>
                </c:pt>
                <c:pt idx="173">
                  <c:v>3030.3500979999999</c:v>
                </c:pt>
                <c:pt idx="174">
                  <c:v>3108.5</c:v>
                </c:pt>
                <c:pt idx="175">
                  <c:v>3178.6999510000001</c:v>
                </c:pt>
                <c:pt idx="176">
                  <c:v>3283.1499020000001</c:v>
                </c:pt>
                <c:pt idx="177">
                  <c:v>3279.8500979999999</c:v>
                </c:pt>
                <c:pt idx="178">
                  <c:v>3297.5</c:v>
                </c:pt>
                <c:pt idx="179">
                  <c:v>3301.9499510000001</c:v>
                </c:pt>
                <c:pt idx="180">
                  <c:v>3298.6000979999999</c:v>
                </c:pt>
                <c:pt idx="181">
                  <c:v>3243.6999510000001</c:v>
                </c:pt>
                <c:pt idx="182">
                  <c:v>3239.4499510000001</c:v>
                </c:pt>
                <c:pt idx="183">
                  <c:v>3271.3500979999999</c:v>
                </c:pt>
                <c:pt idx="184">
                  <c:v>3280.1000979999999</c:v>
                </c:pt>
                <c:pt idx="185">
                  <c:v>3267.8999020000001</c:v>
                </c:pt>
                <c:pt idx="186">
                  <c:v>3284.8000489999999</c:v>
                </c:pt>
                <c:pt idx="187">
                  <c:v>3272.3999020000001</c:v>
                </c:pt>
                <c:pt idx="188">
                  <c:v>3368.1999510000001</c:v>
                </c:pt>
                <c:pt idx="189">
                  <c:v>3367.4499510000001</c:v>
                </c:pt>
                <c:pt idx="190">
                  <c:v>3365.6999510000001</c:v>
                </c:pt>
                <c:pt idx="191">
                  <c:v>3382.9499510000001</c:v>
                </c:pt>
                <c:pt idx="192">
                  <c:v>3422.3999020000001</c:v>
                </c:pt>
                <c:pt idx="193">
                  <c:v>3459.3000489999999</c:v>
                </c:pt>
                <c:pt idx="194">
                  <c:v>3526.8000489999999</c:v>
                </c:pt>
                <c:pt idx="195">
                  <c:v>3514.6499020000001</c:v>
                </c:pt>
                <c:pt idx="196">
                  <c:v>3576.3000489999999</c:v>
                </c:pt>
                <c:pt idx="197">
                  <c:v>3553.5</c:v>
                </c:pt>
                <c:pt idx="198">
                  <c:v>3538.75</c:v>
                </c:pt>
                <c:pt idx="199">
                  <c:v>3543.8000489999999</c:v>
                </c:pt>
                <c:pt idx="200">
                  <c:v>3456.25</c:v>
                </c:pt>
                <c:pt idx="201">
                  <c:v>3364.3999020000001</c:v>
                </c:pt>
                <c:pt idx="202">
                  <c:v>3378.6499020000001</c:v>
                </c:pt>
                <c:pt idx="203">
                  <c:v>3373.6999510000001</c:v>
                </c:pt>
                <c:pt idx="204">
                  <c:v>3280.3999020000001</c:v>
                </c:pt>
                <c:pt idx="205">
                  <c:v>3306.3999020000001</c:v>
                </c:pt>
                <c:pt idx="206">
                  <c:v>3274.8500979999999</c:v>
                </c:pt>
                <c:pt idx="207">
                  <c:v>3155.1499020000001</c:v>
                </c:pt>
                <c:pt idx="208">
                  <c:v>3147.1000979999999</c:v>
                </c:pt>
                <c:pt idx="209">
                  <c:v>3116.9499510000001</c:v>
                </c:pt>
                <c:pt idx="210">
                  <c:v>3110.8500979999999</c:v>
                </c:pt>
                <c:pt idx="211">
                  <c:v>3152.25</c:v>
                </c:pt>
                <c:pt idx="212">
                  <c:v>3196.25</c:v>
                </c:pt>
                <c:pt idx="213">
                  <c:v>3197.6999510000001</c:v>
                </c:pt>
                <c:pt idx="214">
                  <c:v>3203</c:v>
                </c:pt>
                <c:pt idx="215">
                  <c:v>3236.6499020000001</c:v>
                </c:pt>
                <c:pt idx="216">
                  <c:v>3174.6999510000001</c:v>
                </c:pt>
                <c:pt idx="217">
                  <c:v>3216.3500979999999</c:v>
                </c:pt>
                <c:pt idx="218">
                  <c:v>3228.3500979999999</c:v>
                </c:pt>
                <c:pt idx="219">
                  <c:v>3238.75</c:v>
                </c:pt>
                <c:pt idx="220">
                  <c:v>3216.3000489999999</c:v>
                </c:pt>
                <c:pt idx="221">
                  <c:v>3143.4499510000001</c:v>
                </c:pt>
                <c:pt idx="222">
                  <c:v>3264.6000979999999</c:v>
                </c:pt>
                <c:pt idx="223">
                  <c:v>3252.8500979999999</c:v>
                </c:pt>
                <c:pt idx="224">
                  <c:v>3265.8500979999999</c:v>
                </c:pt>
                <c:pt idx="225">
                  <c:v>3258.4499510000001</c:v>
                </c:pt>
                <c:pt idx="226">
                  <c:v>3251.6499020000001</c:v>
                </c:pt>
                <c:pt idx="227">
                  <c:v>3227.1499020000001</c:v>
                </c:pt>
                <c:pt idx="228">
                  <c:v>3237.1999510000001</c:v>
                </c:pt>
                <c:pt idx="229">
                  <c:v>3069.0500489999999</c:v>
                </c:pt>
                <c:pt idx="230">
                  <c:v>3119.1999510000001</c:v>
                </c:pt>
                <c:pt idx="231">
                  <c:v>3174.6499020000001</c:v>
                </c:pt>
                <c:pt idx="232">
                  <c:v>3028.9499510000001</c:v>
                </c:pt>
                <c:pt idx="233">
                  <c:v>2871.8999020000001</c:v>
                </c:pt>
                <c:pt idx="234">
                  <c:v>2738.1499020000001</c:v>
                </c:pt>
                <c:pt idx="235">
                  <c:v>2708.4499510000001</c:v>
                </c:pt>
                <c:pt idx="236">
                  <c:v>2723.3999020000001</c:v>
                </c:pt>
                <c:pt idx="237">
                  <c:v>2874.9499510000001</c:v>
                </c:pt>
                <c:pt idx="238">
                  <c:v>2912.8000489999999</c:v>
                </c:pt>
                <c:pt idx="239">
                  <c:v>2932</c:v>
                </c:pt>
                <c:pt idx="240">
                  <c:v>2962.8000489999999</c:v>
                </c:pt>
                <c:pt idx="241">
                  <c:v>2987.1499020000001</c:v>
                </c:pt>
                <c:pt idx="242">
                  <c:v>3042</c:v>
                </c:pt>
                <c:pt idx="243">
                  <c:v>3136.6000979999999</c:v>
                </c:pt>
                <c:pt idx="244">
                  <c:v>3045.75</c:v>
                </c:pt>
                <c:pt idx="245">
                  <c:v>3051.1499020000001</c:v>
                </c:pt>
                <c:pt idx="246">
                  <c:v>3016.8000489999999</c:v>
                </c:pt>
                <c:pt idx="247">
                  <c:v>3025.3500979999999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94-4670-BCFA-815B5387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708528"/>
        <c:axId val="1623707088"/>
      </c:lineChart>
      <c:dateAx>
        <c:axId val="162370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07088"/>
        <c:crosses val="autoZero"/>
        <c:auto val="1"/>
        <c:lblOffset val="100"/>
        <c:baseTimeUnit val="days"/>
      </c:dateAx>
      <c:valAx>
        <c:axId val="162370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70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'Dataset + Dashboard'!$AA$1</c:f>
              <c:strCache>
                <c:ptCount val="1"/>
                <c:pt idx="0">
                  <c:v>DMART Open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'Dataset + Dashboard'!$Z$2:$Z$249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'Dataset + Dashboard'!$AA$2:$AA$249</c:f>
              <c:numCache>
                <c:formatCode>General</c:formatCode>
                <c:ptCount val="248"/>
                <c:pt idx="0">
                  <c:v>2933.6499020000001</c:v>
                </c:pt>
                <c:pt idx="1">
                  <c:v>2875</c:v>
                </c:pt>
                <c:pt idx="2">
                  <c:v>2829</c:v>
                </c:pt>
                <c:pt idx="3">
                  <c:v>2867</c:v>
                </c:pt>
                <c:pt idx="4">
                  <c:v>2869</c:v>
                </c:pt>
                <c:pt idx="5">
                  <c:v>2885</c:v>
                </c:pt>
                <c:pt idx="6">
                  <c:v>2890</c:v>
                </c:pt>
                <c:pt idx="7">
                  <c:v>2873</c:v>
                </c:pt>
                <c:pt idx="8">
                  <c:v>2855</c:v>
                </c:pt>
                <c:pt idx="9">
                  <c:v>2899.6499020000001</c:v>
                </c:pt>
                <c:pt idx="10">
                  <c:v>2937.1000979999999</c:v>
                </c:pt>
                <c:pt idx="11">
                  <c:v>2861.1000979999999</c:v>
                </c:pt>
                <c:pt idx="12">
                  <c:v>2832.9499510000001</c:v>
                </c:pt>
                <c:pt idx="13">
                  <c:v>2844</c:v>
                </c:pt>
                <c:pt idx="14">
                  <c:v>2947</c:v>
                </c:pt>
                <c:pt idx="15">
                  <c:v>2860.4499510000001</c:v>
                </c:pt>
                <c:pt idx="16">
                  <c:v>2880</c:v>
                </c:pt>
                <c:pt idx="17">
                  <c:v>2785</c:v>
                </c:pt>
                <c:pt idx="18">
                  <c:v>2709</c:v>
                </c:pt>
                <c:pt idx="19">
                  <c:v>2729.8999020000001</c:v>
                </c:pt>
                <c:pt idx="20">
                  <c:v>2815</c:v>
                </c:pt>
                <c:pt idx="21">
                  <c:v>2865</c:v>
                </c:pt>
                <c:pt idx="22">
                  <c:v>2960</c:v>
                </c:pt>
                <c:pt idx="23">
                  <c:v>2889.8000489999999</c:v>
                </c:pt>
                <c:pt idx="24">
                  <c:v>2845</c:v>
                </c:pt>
                <c:pt idx="25">
                  <c:v>2908</c:v>
                </c:pt>
                <c:pt idx="26">
                  <c:v>2878.6999510000001</c:v>
                </c:pt>
                <c:pt idx="27">
                  <c:v>2874.9499510000001</c:v>
                </c:pt>
                <c:pt idx="28">
                  <c:v>2880</c:v>
                </c:pt>
                <c:pt idx="29">
                  <c:v>2925</c:v>
                </c:pt>
                <c:pt idx="30">
                  <c:v>2850</c:v>
                </c:pt>
                <c:pt idx="31">
                  <c:v>2850.5500489999999</c:v>
                </c:pt>
                <c:pt idx="32">
                  <c:v>2874</c:v>
                </c:pt>
                <c:pt idx="33">
                  <c:v>2864</c:v>
                </c:pt>
                <c:pt idx="34">
                  <c:v>2920</c:v>
                </c:pt>
                <c:pt idx="35">
                  <c:v>3069</c:v>
                </c:pt>
                <c:pt idx="36">
                  <c:v>3055</c:v>
                </c:pt>
                <c:pt idx="37">
                  <c:v>3041</c:v>
                </c:pt>
                <c:pt idx="38">
                  <c:v>3046</c:v>
                </c:pt>
                <c:pt idx="39">
                  <c:v>3055</c:v>
                </c:pt>
                <c:pt idx="40">
                  <c:v>3125</c:v>
                </c:pt>
                <c:pt idx="41">
                  <c:v>3100</c:v>
                </c:pt>
                <c:pt idx="42">
                  <c:v>3052</c:v>
                </c:pt>
                <c:pt idx="43">
                  <c:v>3042.5</c:v>
                </c:pt>
                <c:pt idx="44">
                  <c:v>3071.0500489999999</c:v>
                </c:pt>
                <c:pt idx="45">
                  <c:v>3050</c:v>
                </c:pt>
                <c:pt idx="46">
                  <c:v>3080</c:v>
                </c:pt>
                <c:pt idx="47">
                  <c:v>3222</c:v>
                </c:pt>
                <c:pt idx="48">
                  <c:v>3219.9499510000001</c:v>
                </c:pt>
                <c:pt idx="49">
                  <c:v>3200</c:v>
                </c:pt>
                <c:pt idx="50">
                  <c:v>3198</c:v>
                </c:pt>
                <c:pt idx="51">
                  <c:v>3206.8500979999999</c:v>
                </c:pt>
                <c:pt idx="52">
                  <c:v>3215</c:v>
                </c:pt>
                <c:pt idx="53">
                  <c:v>3180</c:v>
                </c:pt>
                <c:pt idx="54">
                  <c:v>3300</c:v>
                </c:pt>
                <c:pt idx="55">
                  <c:v>3359.5</c:v>
                </c:pt>
                <c:pt idx="56">
                  <c:v>3283.9499510000001</c:v>
                </c:pt>
                <c:pt idx="57">
                  <c:v>3317.5</c:v>
                </c:pt>
                <c:pt idx="58">
                  <c:v>3319.6999510000001</c:v>
                </c:pt>
                <c:pt idx="59">
                  <c:v>3328</c:v>
                </c:pt>
                <c:pt idx="60">
                  <c:v>3400</c:v>
                </c:pt>
                <c:pt idx="61">
                  <c:v>3345</c:v>
                </c:pt>
                <c:pt idx="62">
                  <c:v>3325</c:v>
                </c:pt>
                <c:pt idx="63">
                  <c:v>3315</c:v>
                </c:pt>
                <c:pt idx="64">
                  <c:v>3338</c:v>
                </c:pt>
                <c:pt idx="65">
                  <c:v>3278</c:v>
                </c:pt>
                <c:pt idx="66">
                  <c:v>3373.6999510000001</c:v>
                </c:pt>
                <c:pt idx="67">
                  <c:v>3340</c:v>
                </c:pt>
                <c:pt idx="68">
                  <c:v>3375</c:v>
                </c:pt>
                <c:pt idx="69">
                  <c:v>3366</c:v>
                </c:pt>
                <c:pt idx="70">
                  <c:v>3366</c:v>
                </c:pt>
                <c:pt idx="71">
                  <c:v>3400</c:v>
                </c:pt>
                <c:pt idx="72">
                  <c:v>3390</c:v>
                </c:pt>
                <c:pt idx="73">
                  <c:v>3369.6000979999999</c:v>
                </c:pt>
                <c:pt idx="74">
                  <c:v>3330</c:v>
                </c:pt>
                <c:pt idx="75">
                  <c:v>3349.9499510000001</c:v>
                </c:pt>
                <c:pt idx="76">
                  <c:v>3319</c:v>
                </c:pt>
                <c:pt idx="77">
                  <c:v>3332.9499510000001</c:v>
                </c:pt>
                <c:pt idx="78">
                  <c:v>3320</c:v>
                </c:pt>
                <c:pt idx="79">
                  <c:v>3347</c:v>
                </c:pt>
                <c:pt idx="80">
                  <c:v>3434</c:v>
                </c:pt>
                <c:pt idx="81">
                  <c:v>3417.8500979999999</c:v>
                </c:pt>
                <c:pt idx="82">
                  <c:v>3410</c:v>
                </c:pt>
                <c:pt idx="83">
                  <c:v>3499</c:v>
                </c:pt>
                <c:pt idx="84">
                  <c:v>3499</c:v>
                </c:pt>
                <c:pt idx="85">
                  <c:v>3500</c:v>
                </c:pt>
                <c:pt idx="86">
                  <c:v>3524</c:v>
                </c:pt>
                <c:pt idx="87">
                  <c:v>3524.8000489999999</c:v>
                </c:pt>
                <c:pt idx="88">
                  <c:v>3508</c:v>
                </c:pt>
                <c:pt idx="89">
                  <c:v>3575</c:v>
                </c:pt>
                <c:pt idx="90">
                  <c:v>3600</c:v>
                </c:pt>
                <c:pt idx="91">
                  <c:v>3569</c:v>
                </c:pt>
                <c:pt idx="92">
                  <c:v>3549</c:v>
                </c:pt>
                <c:pt idx="93">
                  <c:v>3541</c:v>
                </c:pt>
                <c:pt idx="94">
                  <c:v>3551.6499020000001</c:v>
                </c:pt>
                <c:pt idx="95">
                  <c:v>3573.8000489999999</c:v>
                </c:pt>
                <c:pt idx="96">
                  <c:v>3584</c:v>
                </c:pt>
                <c:pt idx="97">
                  <c:v>3594</c:v>
                </c:pt>
                <c:pt idx="98">
                  <c:v>3655</c:v>
                </c:pt>
                <c:pt idx="99">
                  <c:v>3640</c:v>
                </c:pt>
                <c:pt idx="100">
                  <c:v>3650</c:v>
                </c:pt>
                <c:pt idx="101">
                  <c:v>3663</c:v>
                </c:pt>
                <c:pt idx="102">
                  <c:v>3700</c:v>
                </c:pt>
                <c:pt idx="103">
                  <c:v>3749.9499510000001</c:v>
                </c:pt>
                <c:pt idx="104">
                  <c:v>3814</c:v>
                </c:pt>
                <c:pt idx="105">
                  <c:v>3887</c:v>
                </c:pt>
                <c:pt idx="106">
                  <c:v>3862</c:v>
                </c:pt>
                <c:pt idx="107">
                  <c:v>3899</c:v>
                </c:pt>
                <c:pt idx="108">
                  <c:v>3978</c:v>
                </c:pt>
                <c:pt idx="109">
                  <c:v>3979</c:v>
                </c:pt>
                <c:pt idx="110">
                  <c:v>3940</c:v>
                </c:pt>
                <c:pt idx="111">
                  <c:v>3959.8999020000001</c:v>
                </c:pt>
                <c:pt idx="112">
                  <c:v>3938</c:v>
                </c:pt>
                <c:pt idx="113">
                  <c:v>3945</c:v>
                </c:pt>
                <c:pt idx="114">
                  <c:v>3934</c:v>
                </c:pt>
                <c:pt idx="115">
                  <c:v>3951</c:v>
                </c:pt>
                <c:pt idx="116">
                  <c:v>3970</c:v>
                </c:pt>
                <c:pt idx="117">
                  <c:v>3979.8999020000001</c:v>
                </c:pt>
                <c:pt idx="118">
                  <c:v>3982.6000979999999</c:v>
                </c:pt>
                <c:pt idx="119">
                  <c:v>4124</c:v>
                </c:pt>
                <c:pt idx="120">
                  <c:v>4208</c:v>
                </c:pt>
                <c:pt idx="121">
                  <c:v>4415.1000979999999</c:v>
                </c:pt>
                <c:pt idx="122">
                  <c:v>4373</c:v>
                </c:pt>
                <c:pt idx="123">
                  <c:v>4408.9501950000003</c:v>
                </c:pt>
                <c:pt idx="124">
                  <c:v>4440</c:v>
                </c:pt>
                <c:pt idx="125">
                  <c:v>4435</c:v>
                </c:pt>
                <c:pt idx="126">
                  <c:v>4397</c:v>
                </c:pt>
                <c:pt idx="127">
                  <c:v>4316</c:v>
                </c:pt>
                <c:pt idx="128">
                  <c:v>4259.75</c:v>
                </c:pt>
                <c:pt idx="129">
                  <c:v>4250</c:v>
                </c:pt>
                <c:pt idx="130">
                  <c:v>4393.9501950000003</c:v>
                </c:pt>
                <c:pt idx="131">
                  <c:v>4284</c:v>
                </c:pt>
                <c:pt idx="132">
                  <c:v>4292.1499020000001</c:v>
                </c:pt>
                <c:pt idx="133">
                  <c:v>4254.9501950000003</c:v>
                </c:pt>
                <c:pt idx="134">
                  <c:v>4326.3999020000001</c:v>
                </c:pt>
                <c:pt idx="135">
                  <c:v>4438</c:v>
                </c:pt>
                <c:pt idx="136">
                  <c:v>4780</c:v>
                </c:pt>
                <c:pt idx="137">
                  <c:v>4777</c:v>
                </c:pt>
                <c:pt idx="138">
                  <c:v>5194</c:v>
                </c:pt>
                <c:pt idx="139">
                  <c:v>5599</c:v>
                </c:pt>
                <c:pt idx="140">
                  <c:v>5000</c:v>
                </c:pt>
                <c:pt idx="141">
                  <c:v>4789</c:v>
                </c:pt>
                <c:pt idx="142">
                  <c:v>4650</c:v>
                </c:pt>
                <c:pt idx="143">
                  <c:v>4559</c:v>
                </c:pt>
                <c:pt idx="144">
                  <c:v>4534.2998049999997</c:v>
                </c:pt>
                <c:pt idx="145">
                  <c:v>4419</c:v>
                </c:pt>
                <c:pt idx="146">
                  <c:v>4600</c:v>
                </c:pt>
                <c:pt idx="147">
                  <c:v>4748</c:v>
                </c:pt>
                <c:pt idx="148">
                  <c:v>4669</c:v>
                </c:pt>
                <c:pt idx="149">
                  <c:v>4670</c:v>
                </c:pt>
                <c:pt idx="150">
                  <c:v>4596.7001950000003</c:v>
                </c:pt>
                <c:pt idx="151">
                  <c:v>4644</c:v>
                </c:pt>
                <c:pt idx="152">
                  <c:v>4780</c:v>
                </c:pt>
                <c:pt idx="153">
                  <c:v>4783</c:v>
                </c:pt>
                <c:pt idx="154">
                  <c:v>4748</c:v>
                </c:pt>
                <c:pt idx="155">
                  <c:v>4745</c:v>
                </c:pt>
                <c:pt idx="156">
                  <c:v>4960.2998049999997</c:v>
                </c:pt>
                <c:pt idx="157">
                  <c:v>5044.9501950000003</c:v>
                </c:pt>
                <c:pt idx="158">
                  <c:v>5075</c:v>
                </c:pt>
                <c:pt idx="159">
                  <c:v>5025</c:v>
                </c:pt>
                <c:pt idx="160">
                  <c:v>5080</c:v>
                </c:pt>
                <c:pt idx="161">
                  <c:v>5130</c:v>
                </c:pt>
                <c:pt idx="162">
                  <c:v>5100</c:v>
                </c:pt>
                <c:pt idx="163">
                  <c:v>4829</c:v>
                </c:pt>
                <c:pt idx="164">
                  <c:v>4876</c:v>
                </c:pt>
                <c:pt idx="165">
                  <c:v>4930</c:v>
                </c:pt>
                <c:pt idx="166">
                  <c:v>4860</c:v>
                </c:pt>
                <c:pt idx="167">
                  <c:v>4687</c:v>
                </c:pt>
                <c:pt idx="168">
                  <c:v>4673.3999020000001</c:v>
                </c:pt>
                <c:pt idx="169">
                  <c:v>4750</c:v>
                </c:pt>
                <c:pt idx="170">
                  <c:v>4750</c:v>
                </c:pt>
                <c:pt idx="171">
                  <c:v>4799</c:v>
                </c:pt>
                <c:pt idx="172">
                  <c:v>4820</c:v>
                </c:pt>
                <c:pt idx="173">
                  <c:v>4674.7001950000003</c:v>
                </c:pt>
                <c:pt idx="174">
                  <c:v>4708.2001950000003</c:v>
                </c:pt>
                <c:pt idx="175">
                  <c:v>4822</c:v>
                </c:pt>
                <c:pt idx="176">
                  <c:v>4798</c:v>
                </c:pt>
                <c:pt idx="177">
                  <c:v>4830</c:v>
                </c:pt>
                <c:pt idx="178">
                  <c:v>4764.75</c:v>
                </c:pt>
                <c:pt idx="179">
                  <c:v>4799.8999020000001</c:v>
                </c:pt>
                <c:pt idx="180">
                  <c:v>4801</c:v>
                </c:pt>
                <c:pt idx="181">
                  <c:v>4771</c:v>
                </c:pt>
                <c:pt idx="182">
                  <c:v>4669</c:v>
                </c:pt>
                <c:pt idx="183">
                  <c:v>4612.5</c:v>
                </c:pt>
                <c:pt idx="184">
                  <c:v>4627.9501950000003</c:v>
                </c:pt>
                <c:pt idx="185">
                  <c:v>4711.25</c:v>
                </c:pt>
                <c:pt idx="186">
                  <c:v>4674</c:v>
                </c:pt>
                <c:pt idx="187">
                  <c:v>4599</c:v>
                </c:pt>
                <c:pt idx="188">
                  <c:v>4680</c:v>
                </c:pt>
                <c:pt idx="189">
                  <c:v>4739</c:v>
                </c:pt>
                <c:pt idx="190">
                  <c:v>4677.5</c:v>
                </c:pt>
                <c:pt idx="191">
                  <c:v>4641</c:v>
                </c:pt>
                <c:pt idx="192">
                  <c:v>4770</c:v>
                </c:pt>
                <c:pt idx="193">
                  <c:v>4758.8999020000001</c:v>
                </c:pt>
                <c:pt idx="194">
                  <c:v>4725</c:v>
                </c:pt>
                <c:pt idx="195">
                  <c:v>4669.1000979999999</c:v>
                </c:pt>
                <c:pt idx="196">
                  <c:v>4715</c:v>
                </c:pt>
                <c:pt idx="197">
                  <c:v>4784.8999020000001</c:v>
                </c:pt>
                <c:pt idx="198">
                  <c:v>4649</c:v>
                </c:pt>
                <c:pt idx="199">
                  <c:v>4500</c:v>
                </c:pt>
                <c:pt idx="200">
                  <c:v>4276</c:v>
                </c:pt>
                <c:pt idx="201">
                  <c:v>4266</c:v>
                </c:pt>
                <c:pt idx="202">
                  <c:v>4365</c:v>
                </c:pt>
                <c:pt idx="203">
                  <c:v>4425</c:v>
                </c:pt>
                <c:pt idx="204">
                  <c:v>4459</c:v>
                </c:pt>
                <c:pt idx="205">
                  <c:v>4517</c:v>
                </c:pt>
                <c:pt idx="206">
                  <c:v>4410</c:v>
                </c:pt>
                <c:pt idx="207">
                  <c:v>4300</c:v>
                </c:pt>
                <c:pt idx="208">
                  <c:v>4025</c:v>
                </c:pt>
                <c:pt idx="209">
                  <c:v>4040</c:v>
                </c:pt>
                <c:pt idx="210">
                  <c:v>4130</c:v>
                </c:pt>
                <c:pt idx="211">
                  <c:v>4140</c:v>
                </c:pt>
                <c:pt idx="212">
                  <c:v>4133.2001950000003</c:v>
                </c:pt>
                <c:pt idx="213">
                  <c:v>4274.2998049999997</c:v>
                </c:pt>
                <c:pt idx="214">
                  <c:v>4231.0498049999997</c:v>
                </c:pt>
                <c:pt idx="215">
                  <c:v>4140</c:v>
                </c:pt>
                <c:pt idx="216">
                  <c:v>4090</c:v>
                </c:pt>
                <c:pt idx="217">
                  <c:v>4098.8999020000001</c:v>
                </c:pt>
                <c:pt idx="218">
                  <c:v>4078.6999510000001</c:v>
                </c:pt>
                <c:pt idx="219">
                  <c:v>4034.1000979999999</c:v>
                </c:pt>
                <c:pt idx="220">
                  <c:v>4138</c:v>
                </c:pt>
                <c:pt idx="221">
                  <c:v>4015</c:v>
                </c:pt>
                <c:pt idx="222">
                  <c:v>4015</c:v>
                </c:pt>
                <c:pt idx="223">
                  <c:v>4139.8999020000001</c:v>
                </c:pt>
                <c:pt idx="224">
                  <c:v>4095.6000979999999</c:v>
                </c:pt>
                <c:pt idx="225">
                  <c:v>4098</c:v>
                </c:pt>
                <c:pt idx="226">
                  <c:v>4048</c:v>
                </c:pt>
                <c:pt idx="227">
                  <c:v>4001</c:v>
                </c:pt>
                <c:pt idx="228">
                  <c:v>4165</c:v>
                </c:pt>
                <c:pt idx="229">
                  <c:v>3993.8500979999999</c:v>
                </c:pt>
                <c:pt idx="230">
                  <c:v>4080</c:v>
                </c:pt>
                <c:pt idx="231">
                  <c:v>4155</c:v>
                </c:pt>
                <c:pt idx="232">
                  <c:v>4299.9501950000003</c:v>
                </c:pt>
                <c:pt idx="233">
                  <c:v>4370</c:v>
                </c:pt>
                <c:pt idx="234">
                  <c:v>4260.2001950000003</c:v>
                </c:pt>
                <c:pt idx="235">
                  <c:v>4001</c:v>
                </c:pt>
                <c:pt idx="236">
                  <c:v>4016</c:v>
                </c:pt>
                <c:pt idx="237">
                  <c:v>4155</c:v>
                </c:pt>
                <c:pt idx="238">
                  <c:v>4210</c:v>
                </c:pt>
                <c:pt idx="239">
                  <c:v>4167</c:v>
                </c:pt>
                <c:pt idx="240">
                  <c:v>4190</c:v>
                </c:pt>
                <c:pt idx="241">
                  <c:v>4191</c:v>
                </c:pt>
                <c:pt idx="242">
                  <c:v>4229.75</c:v>
                </c:pt>
                <c:pt idx="243">
                  <c:v>4218</c:v>
                </c:pt>
                <c:pt idx="244">
                  <c:v>4217</c:v>
                </c:pt>
                <c:pt idx="245">
                  <c:v>4129</c:v>
                </c:pt>
                <c:pt idx="246">
                  <c:v>4085.6999510000001</c:v>
                </c:pt>
                <c:pt idx="247">
                  <c:v>4086.25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C5-8E05-2668EF1A177C}"/>
            </c:ext>
          </c:extLst>
        </c:ser>
        <c:ser>
          <c:idx val="1"/>
          <c:order val="1"/>
          <c:tx>
            <c:strRef>
              <c:f>'Dataset + Dashboard'!$AB$1</c:f>
              <c:strCache>
                <c:ptCount val="1"/>
                <c:pt idx="0">
                  <c:v>ASIANPAINTS Open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'Dataset + Dashboard'!$Z$2:$Z$249</c:f>
              <c:numCache>
                <c:formatCode>m/d/yyyy</c:formatCode>
                <c:ptCount val="248"/>
                <c:pt idx="0">
                  <c:v>44279</c:v>
                </c:pt>
                <c:pt idx="1">
                  <c:v>44280</c:v>
                </c:pt>
                <c:pt idx="2">
                  <c:v>44281</c:v>
                </c:pt>
                <c:pt idx="3">
                  <c:v>44285</c:v>
                </c:pt>
                <c:pt idx="4">
                  <c:v>44286</c:v>
                </c:pt>
                <c:pt idx="5">
                  <c:v>44287</c:v>
                </c:pt>
                <c:pt idx="6">
                  <c:v>44291</c:v>
                </c:pt>
                <c:pt idx="7">
                  <c:v>44292</c:v>
                </c:pt>
                <c:pt idx="8">
                  <c:v>44293</c:v>
                </c:pt>
                <c:pt idx="9">
                  <c:v>44294</c:v>
                </c:pt>
                <c:pt idx="10">
                  <c:v>44295</c:v>
                </c:pt>
                <c:pt idx="11">
                  <c:v>44298</c:v>
                </c:pt>
                <c:pt idx="12">
                  <c:v>44299</c:v>
                </c:pt>
                <c:pt idx="13">
                  <c:v>44301</c:v>
                </c:pt>
                <c:pt idx="14">
                  <c:v>44302</c:v>
                </c:pt>
                <c:pt idx="15">
                  <c:v>44305</c:v>
                </c:pt>
                <c:pt idx="16">
                  <c:v>44306</c:v>
                </c:pt>
                <c:pt idx="17">
                  <c:v>44308</c:v>
                </c:pt>
                <c:pt idx="18">
                  <c:v>44309</c:v>
                </c:pt>
                <c:pt idx="19">
                  <c:v>44312</c:v>
                </c:pt>
                <c:pt idx="20">
                  <c:v>44313</c:v>
                </c:pt>
                <c:pt idx="21">
                  <c:v>44314</c:v>
                </c:pt>
                <c:pt idx="22">
                  <c:v>44315</c:v>
                </c:pt>
                <c:pt idx="23">
                  <c:v>44316</c:v>
                </c:pt>
                <c:pt idx="24">
                  <c:v>44319</c:v>
                </c:pt>
                <c:pt idx="25">
                  <c:v>44320</c:v>
                </c:pt>
                <c:pt idx="26">
                  <c:v>44321</c:v>
                </c:pt>
                <c:pt idx="27">
                  <c:v>44322</c:v>
                </c:pt>
                <c:pt idx="28">
                  <c:v>44323</c:v>
                </c:pt>
                <c:pt idx="29">
                  <c:v>44326</c:v>
                </c:pt>
                <c:pt idx="30">
                  <c:v>44327</c:v>
                </c:pt>
                <c:pt idx="31">
                  <c:v>44328</c:v>
                </c:pt>
                <c:pt idx="32">
                  <c:v>44330</c:v>
                </c:pt>
                <c:pt idx="33">
                  <c:v>44333</c:v>
                </c:pt>
                <c:pt idx="34">
                  <c:v>44334</c:v>
                </c:pt>
                <c:pt idx="35">
                  <c:v>44335</c:v>
                </c:pt>
                <c:pt idx="36">
                  <c:v>44336</c:v>
                </c:pt>
                <c:pt idx="37">
                  <c:v>44337</c:v>
                </c:pt>
                <c:pt idx="38">
                  <c:v>44340</c:v>
                </c:pt>
                <c:pt idx="39">
                  <c:v>44341</c:v>
                </c:pt>
                <c:pt idx="40">
                  <c:v>44342</c:v>
                </c:pt>
                <c:pt idx="41">
                  <c:v>44343</c:v>
                </c:pt>
                <c:pt idx="42">
                  <c:v>44344</c:v>
                </c:pt>
                <c:pt idx="43">
                  <c:v>44347</c:v>
                </c:pt>
                <c:pt idx="44">
                  <c:v>44348</c:v>
                </c:pt>
                <c:pt idx="45">
                  <c:v>44349</c:v>
                </c:pt>
                <c:pt idx="46">
                  <c:v>44350</c:v>
                </c:pt>
                <c:pt idx="47">
                  <c:v>44351</c:v>
                </c:pt>
                <c:pt idx="48">
                  <c:v>44354</c:v>
                </c:pt>
                <c:pt idx="49">
                  <c:v>44355</c:v>
                </c:pt>
                <c:pt idx="50">
                  <c:v>44356</c:v>
                </c:pt>
                <c:pt idx="51">
                  <c:v>44357</c:v>
                </c:pt>
                <c:pt idx="52">
                  <c:v>44358</c:v>
                </c:pt>
                <c:pt idx="53">
                  <c:v>44361</c:v>
                </c:pt>
                <c:pt idx="54">
                  <c:v>44362</c:v>
                </c:pt>
                <c:pt idx="55">
                  <c:v>44363</c:v>
                </c:pt>
                <c:pt idx="56">
                  <c:v>44364</c:v>
                </c:pt>
                <c:pt idx="57">
                  <c:v>44365</c:v>
                </c:pt>
                <c:pt idx="58">
                  <c:v>44368</c:v>
                </c:pt>
                <c:pt idx="59">
                  <c:v>44369</c:v>
                </c:pt>
                <c:pt idx="60">
                  <c:v>44370</c:v>
                </c:pt>
                <c:pt idx="61">
                  <c:v>44371</c:v>
                </c:pt>
                <c:pt idx="62">
                  <c:v>44372</c:v>
                </c:pt>
                <c:pt idx="63">
                  <c:v>44375</c:v>
                </c:pt>
                <c:pt idx="64">
                  <c:v>44376</c:v>
                </c:pt>
                <c:pt idx="65">
                  <c:v>44377</c:v>
                </c:pt>
                <c:pt idx="66">
                  <c:v>44378</c:v>
                </c:pt>
                <c:pt idx="67">
                  <c:v>44379</c:v>
                </c:pt>
                <c:pt idx="68">
                  <c:v>44382</c:v>
                </c:pt>
                <c:pt idx="69">
                  <c:v>44383</c:v>
                </c:pt>
                <c:pt idx="70">
                  <c:v>44384</c:v>
                </c:pt>
                <c:pt idx="71">
                  <c:v>44385</c:v>
                </c:pt>
                <c:pt idx="72">
                  <c:v>44386</c:v>
                </c:pt>
                <c:pt idx="73">
                  <c:v>44389</c:v>
                </c:pt>
                <c:pt idx="74">
                  <c:v>44390</c:v>
                </c:pt>
                <c:pt idx="75">
                  <c:v>44391</c:v>
                </c:pt>
                <c:pt idx="76">
                  <c:v>44392</c:v>
                </c:pt>
                <c:pt idx="77">
                  <c:v>44393</c:v>
                </c:pt>
                <c:pt idx="78">
                  <c:v>44396</c:v>
                </c:pt>
                <c:pt idx="79">
                  <c:v>44397</c:v>
                </c:pt>
                <c:pt idx="80">
                  <c:v>44399</c:v>
                </c:pt>
                <c:pt idx="81">
                  <c:v>44400</c:v>
                </c:pt>
                <c:pt idx="82">
                  <c:v>44403</c:v>
                </c:pt>
                <c:pt idx="83">
                  <c:v>44404</c:v>
                </c:pt>
                <c:pt idx="84">
                  <c:v>44405</c:v>
                </c:pt>
                <c:pt idx="85">
                  <c:v>44406</c:v>
                </c:pt>
                <c:pt idx="86">
                  <c:v>44407</c:v>
                </c:pt>
                <c:pt idx="87">
                  <c:v>44410</c:v>
                </c:pt>
                <c:pt idx="88">
                  <c:v>44411</c:v>
                </c:pt>
                <c:pt idx="89">
                  <c:v>44412</c:v>
                </c:pt>
                <c:pt idx="90">
                  <c:v>44413</c:v>
                </c:pt>
                <c:pt idx="91">
                  <c:v>44414</c:v>
                </c:pt>
                <c:pt idx="92">
                  <c:v>44417</c:v>
                </c:pt>
                <c:pt idx="93">
                  <c:v>44418</c:v>
                </c:pt>
                <c:pt idx="94">
                  <c:v>44419</c:v>
                </c:pt>
                <c:pt idx="95">
                  <c:v>44420</c:v>
                </c:pt>
                <c:pt idx="96">
                  <c:v>44421</c:v>
                </c:pt>
                <c:pt idx="97">
                  <c:v>44424</c:v>
                </c:pt>
                <c:pt idx="98">
                  <c:v>44425</c:v>
                </c:pt>
                <c:pt idx="99">
                  <c:v>44426</c:v>
                </c:pt>
                <c:pt idx="100">
                  <c:v>44428</c:v>
                </c:pt>
                <c:pt idx="101">
                  <c:v>44431</c:v>
                </c:pt>
                <c:pt idx="102">
                  <c:v>44432</c:v>
                </c:pt>
                <c:pt idx="103">
                  <c:v>44433</c:v>
                </c:pt>
                <c:pt idx="104">
                  <c:v>44434</c:v>
                </c:pt>
                <c:pt idx="105">
                  <c:v>44435</c:v>
                </c:pt>
                <c:pt idx="106">
                  <c:v>44438</c:v>
                </c:pt>
                <c:pt idx="107">
                  <c:v>44439</c:v>
                </c:pt>
                <c:pt idx="108">
                  <c:v>44440</c:v>
                </c:pt>
                <c:pt idx="109">
                  <c:v>44441</c:v>
                </c:pt>
                <c:pt idx="110">
                  <c:v>44442</c:v>
                </c:pt>
                <c:pt idx="111">
                  <c:v>44445</c:v>
                </c:pt>
                <c:pt idx="112">
                  <c:v>44446</c:v>
                </c:pt>
                <c:pt idx="113">
                  <c:v>44447</c:v>
                </c:pt>
                <c:pt idx="114">
                  <c:v>44448</c:v>
                </c:pt>
                <c:pt idx="115">
                  <c:v>44452</c:v>
                </c:pt>
                <c:pt idx="116">
                  <c:v>44453</c:v>
                </c:pt>
                <c:pt idx="117">
                  <c:v>44454</c:v>
                </c:pt>
                <c:pt idx="118">
                  <c:v>44455</c:v>
                </c:pt>
                <c:pt idx="119">
                  <c:v>44456</c:v>
                </c:pt>
                <c:pt idx="120">
                  <c:v>44459</c:v>
                </c:pt>
                <c:pt idx="121">
                  <c:v>44460</c:v>
                </c:pt>
                <c:pt idx="122">
                  <c:v>44461</c:v>
                </c:pt>
                <c:pt idx="123">
                  <c:v>44462</c:v>
                </c:pt>
                <c:pt idx="124">
                  <c:v>44463</c:v>
                </c:pt>
                <c:pt idx="125">
                  <c:v>44466</c:v>
                </c:pt>
                <c:pt idx="126">
                  <c:v>44467</c:v>
                </c:pt>
                <c:pt idx="127">
                  <c:v>44468</c:v>
                </c:pt>
                <c:pt idx="128">
                  <c:v>44469</c:v>
                </c:pt>
                <c:pt idx="129">
                  <c:v>44470</c:v>
                </c:pt>
                <c:pt idx="130">
                  <c:v>44473</c:v>
                </c:pt>
                <c:pt idx="131">
                  <c:v>44474</c:v>
                </c:pt>
                <c:pt idx="132">
                  <c:v>44475</c:v>
                </c:pt>
                <c:pt idx="133">
                  <c:v>44476</c:v>
                </c:pt>
                <c:pt idx="134">
                  <c:v>44477</c:v>
                </c:pt>
                <c:pt idx="135">
                  <c:v>44480</c:v>
                </c:pt>
                <c:pt idx="136">
                  <c:v>44481</c:v>
                </c:pt>
                <c:pt idx="137">
                  <c:v>44482</c:v>
                </c:pt>
                <c:pt idx="138">
                  <c:v>44483</c:v>
                </c:pt>
                <c:pt idx="139">
                  <c:v>44487</c:v>
                </c:pt>
                <c:pt idx="140">
                  <c:v>44488</c:v>
                </c:pt>
                <c:pt idx="141">
                  <c:v>44489</c:v>
                </c:pt>
                <c:pt idx="142">
                  <c:v>44490</c:v>
                </c:pt>
                <c:pt idx="143">
                  <c:v>44491</c:v>
                </c:pt>
                <c:pt idx="144">
                  <c:v>44494</c:v>
                </c:pt>
                <c:pt idx="145">
                  <c:v>44495</c:v>
                </c:pt>
                <c:pt idx="146">
                  <c:v>44496</c:v>
                </c:pt>
                <c:pt idx="147">
                  <c:v>44497</c:v>
                </c:pt>
                <c:pt idx="148">
                  <c:v>44498</c:v>
                </c:pt>
                <c:pt idx="149">
                  <c:v>44501</c:v>
                </c:pt>
                <c:pt idx="150">
                  <c:v>44502</c:v>
                </c:pt>
                <c:pt idx="151">
                  <c:v>44503</c:v>
                </c:pt>
                <c:pt idx="152">
                  <c:v>44504</c:v>
                </c:pt>
                <c:pt idx="153">
                  <c:v>44508</c:v>
                </c:pt>
                <c:pt idx="154">
                  <c:v>44509</c:v>
                </c:pt>
                <c:pt idx="155">
                  <c:v>44510</c:v>
                </c:pt>
                <c:pt idx="156">
                  <c:v>44511</c:v>
                </c:pt>
                <c:pt idx="157">
                  <c:v>44512</c:v>
                </c:pt>
                <c:pt idx="158">
                  <c:v>44515</c:v>
                </c:pt>
                <c:pt idx="159">
                  <c:v>44516</c:v>
                </c:pt>
                <c:pt idx="160">
                  <c:v>44517</c:v>
                </c:pt>
                <c:pt idx="161">
                  <c:v>44518</c:v>
                </c:pt>
                <c:pt idx="162">
                  <c:v>44522</c:v>
                </c:pt>
                <c:pt idx="163">
                  <c:v>44523</c:v>
                </c:pt>
                <c:pt idx="164">
                  <c:v>44524</c:v>
                </c:pt>
                <c:pt idx="165">
                  <c:v>44525</c:v>
                </c:pt>
                <c:pt idx="166">
                  <c:v>44526</c:v>
                </c:pt>
                <c:pt idx="167">
                  <c:v>44529</c:v>
                </c:pt>
                <c:pt idx="168">
                  <c:v>44530</c:v>
                </c:pt>
                <c:pt idx="169">
                  <c:v>44531</c:v>
                </c:pt>
                <c:pt idx="170">
                  <c:v>44532</c:v>
                </c:pt>
                <c:pt idx="171">
                  <c:v>44533</c:v>
                </c:pt>
                <c:pt idx="172">
                  <c:v>44536</c:v>
                </c:pt>
                <c:pt idx="173">
                  <c:v>44537</c:v>
                </c:pt>
                <c:pt idx="174">
                  <c:v>44538</c:v>
                </c:pt>
                <c:pt idx="175">
                  <c:v>44539</c:v>
                </c:pt>
                <c:pt idx="176">
                  <c:v>44540</c:v>
                </c:pt>
                <c:pt idx="177">
                  <c:v>44543</c:v>
                </c:pt>
                <c:pt idx="178">
                  <c:v>44544</c:v>
                </c:pt>
                <c:pt idx="179">
                  <c:v>44545</c:v>
                </c:pt>
                <c:pt idx="180">
                  <c:v>44546</c:v>
                </c:pt>
                <c:pt idx="181">
                  <c:v>44547</c:v>
                </c:pt>
                <c:pt idx="182">
                  <c:v>44550</c:v>
                </c:pt>
                <c:pt idx="183">
                  <c:v>44551</c:v>
                </c:pt>
                <c:pt idx="184">
                  <c:v>44552</c:v>
                </c:pt>
                <c:pt idx="185">
                  <c:v>44553</c:v>
                </c:pt>
                <c:pt idx="186">
                  <c:v>44554</c:v>
                </c:pt>
                <c:pt idx="187">
                  <c:v>44557</c:v>
                </c:pt>
                <c:pt idx="188">
                  <c:v>44558</c:v>
                </c:pt>
                <c:pt idx="189">
                  <c:v>44559</c:v>
                </c:pt>
                <c:pt idx="190">
                  <c:v>44560</c:v>
                </c:pt>
                <c:pt idx="191">
                  <c:v>44561</c:v>
                </c:pt>
                <c:pt idx="192">
                  <c:v>44564</c:v>
                </c:pt>
                <c:pt idx="193">
                  <c:v>44565</c:v>
                </c:pt>
                <c:pt idx="194">
                  <c:v>44566</c:v>
                </c:pt>
                <c:pt idx="195">
                  <c:v>44567</c:v>
                </c:pt>
                <c:pt idx="196">
                  <c:v>44568</c:v>
                </c:pt>
                <c:pt idx="197">
                  <c:v>44571</c:v>
                </c:pt>
                <c:pt idx="198">
                  <c:v>44572</c:v>
                </c:pt>
                <c:pt idx="199">
                  <c:v>44573</c:v>
                </c:pt>
                <c:pt idx="200">
                  <c:v>44574</c:v>
                </c:pt>
                <c:pt idx="201">
                  <c:v>44575</c:v>
                </c:pt>
                <c:pt idx="202">
                  <c:v>44578</c:v>
                </c:pt>
                <c:pt idx="203">
                  <c:v>44579</c:v>
                </c:pt>
                <c:pt idx="204">
                  <c:v>44580</c:v>
                </c:pt>
                <c:pt idx="205">
                  <c:v>44581</c:v>
                </c:pt>
                <c:pt idx="206">
                  <c:v>44582</c:v>
                </c:pt>
                <c:pt idx="207">
                  <c:v>44585</c:v>
                </c:pt>
                <c:pt idx="208">
                  <c:v>44586</c:v>
                </c:pt>
                <c:pt idx="209">
                  <c:v>44588</c:v>
                </c:pt>
                <c:pt idx="210">
                  <c:v>44589</c:v>
                </c:pt>
                <c:pt idx="211">
                  <c:v>44592</c:v>
                </c:pt>
                <c:pt idx="212">
                  <c:v>44593</c:v>
                </c:pt>
                <c:pt idx="213">
                  <c:v>44594</c:v>
                </c:pt>
                <c:pt idx="214">
                  <c:v>44595</c:v>
                </c:pt>
                <c:pt idx="215">
                  <c:v>44596</c:v>
                </c:pt>
                <c:pt idx="216">
                  <c:v>44599</c:v>
                </c:pt>
                <c:pt idx="217">
                  <c:v>44600</c:v>
                </c:pt>
                <c:pt idx="218">
                  <c:v>44601</c:v>
                </c:pt>
                <c:pt idx="219">
                  <c:v>44602</c:v>
                </c:pt>
                <c:pt idx="220">
                  <c:v>44603</c:v>
                </c:pt>
                <c:pt idx="221">
                  <c:v>44606</c:v>
                </c:pt>
                <c:pt idx="222">
                  <c:v>44607</c:v>
                </c:pt>
                <c:pt idx="223">
                  <c:v>44608</c:v>
                </c:pt>
                <c:pt idx="224">
                  <c:v>44609</c:v>
                </c:pt>
                <c:pt idx="225">
                  <c:v>44610</c:v>
                </c:pt>
                <c:pt idx="226">
                  <c:v>44613</c:v>
                </c:pt>
                <c:pt idx="227">
                  <c:v>44614</c:v>
                </c:pt>
                <c:pt idx="228">
                  <c:v>44615</c:v>
                </c:pt>
                <c:pt idx="229">
                  <c:v>44616</c:v>
                </c:pt>
                <c:pt idx="230">
                  <c:v>44617</c:v>
                </c:pt>
                <c:pt idx="231">
                  <c:v>44620</c:v>
                </c:pt>
                <c:pt idx="232">
                  <c:v>44622</c:v>
                </c:pt>
                <c:pt idx="233">
                  <c:v>44623</c:v>
                </c:pt>
                <c:pt idx="234">
                  <c:v>44624</c:v>
                </c:pt>
                <c:pt idx="235">
                  <c:v>44627</c:v>
                </c:pt>
                <c:pt idx="236">
                  <c:v>44628</c:v>
                </c:pt>
                <c:pt idx="237">
                  <c:v>44629</c:v>
                </c:pt>
                <c:pt idx="238">
                  <c:v>44630</c:v>
                </c:pt>
                <c:pt idx="239">
                  <c:v>44631</c:v>
                </c:pt>
                <c:pt idx="240">
                  <c:v>44634</c:v>
                </c:pt>
                <c:pt idx="241">
                  <c:v>44635</c:v>
                </c:pt>
                <c:pt idx="242">
                  <c:v>44636</c:v>
                </c:pt>
                <c:pt idx="243">
                  <c:v>44637</c:v>
                </c:pt>
                <c:pt idx="244">
                  <c:v>44641</c:v>
                </c:pt>
                <c:pt idx="245">
                  <c:v>44642</c:v>
                </c:pt>
                <c:pt idx="246">
                  <c:v>44643</c:v>
                </c:pt>
                <c:pt idx="247">
                  <c:v>44644</c:v>
                </c:pt>
              </c:numCache>
            </c:numRef>
          </c:cat>
          <c:val>
            <c:numRef>
              <c:f>'Dataset + Dashboard'!$AB$2:$AB$249</c:f>
              <c:numCache>
                <c:formatCode>General</c:formatCode>
                <c:ptCount val="248"/>
                <c:pt idx="0">
                  <c:v>2410.3000489999999</c:v>
                </c:pt>
                <c:pt idx="1">
                  <c:v>2450.9499510000001</c:v>
                </c:pt>
                <c:pt idx="2">
                  <c:v>2425</c:v>
                </c:pt>
                <c:pt idx="3">
                  <c:v>2539.1000979999999</c:v>
                </c:pt>
                <c:pt idx="4">
                  <c:v>2578.0500489999999</c:v>
                </c:pt>
                <c:pt idx="5">
                  <c:v>2532</c:v>
                </c:pt>
                <c:pt idx="6">
                  <c:v>2558</c:v>
                </c:pt>
                <c:pt idx="7">
                  <c:v>2526</c:v>
                </c:pt>
                <c:pt idx="8">
                  <c:v>2605</c:v>
                </c:pt>
                <c:pt idx="9">
                  <c:v>2630</c:v>
                </c:pt>
                <c:pt idx="10">
                  <c:v>2635</c:v>
                </c:pt>
                <c:pt idx="11">
                  <c:v>2578.1999510000001</c:v>
                </c:pt>
                <c:pt idx="12">
                  <c:v>2600</c:v>
                </c:pt>
                <c:pt idx="13">
                  <c:v>2590</c:v>
                </c:pt>
                <c:pt idx="14">
                  <c:v>2587.6000979999999</c:v>
                </c:pt>
                <c:pt idx="15">
                  <c:v>2650</c:v>
                </c:pt>
                <c:pt idx="16">
                  <c:v>2600</c:v>
                </c:pt>
                <c:pt idx="17">
                  <c:v>2555.6499020000001</c:v>
                </c:pt>
                <c:pt idx="18">
                  <c:v>2527.1000979999999</c:v>
                </c:pt>
                <c:pt idx="19">
                  <c:v>2530</c:v>
                </c:pt>
                <c:pt idx="20">
                  <c:v>2545</c:v>
                </c:pt>
                <c:pt idx="21">
                  <c:v>2588</c:v>
                </c:pt>
                <c:pt idx="22">
                  <c:v>2630</c:v>
                </c:pt>
                <c:pt idx="23">
                  <c:v>2595</c:v>
                </c:pt>
                <c:pt idx="24">
                  <c:v>2510</c:v>
                </c:pt>
                <c:pt idx="25">
                  <c:v>2605</c:v>
                </c:pt>
                <c:pt idx="26">
                  <c:v>2617</c:v>
                </c:pt>
                <c:pt idx="27">
                  <c:v>2579.8500979999999</c:v>
                </c:pt>
                <c:pt idx="28">
                  <c:v>2555</c:v>
                </c:pt>
                <c:pt idx="29">
                  <c:v>2589</c:v>
                </c:pt>
                <c:pt idx="30">
                  <c:v>2533</c:v>
                </c:pt>
                <c:pt idx="31">
                  <c:v>2577</c:v>
                </c:pt>
                <c:pt idx="32">
                  <c:v>2620</c:v>
                </c:pt>
                <c:pt idx="33">
                  <c:v>2782</c:v>
                </c:pt>
                <c:pt idx="34">
                  <c:v>2797</c:v>
                </c:pt>
                <c:pt idx="35">
                  <c:v>2805.1499020000001</c:v>
                </c:pt>
                <c:pt idx="36">
                  <c:v>2814</c:v>
                </c:pt>
                <c:pt idx="37">
                  <c:v>2807</c:v>
                </c:pt>
                <c:pt idx="38">
                  <c:v>2846</c:v>
                </c:pt>
                <c:pt idx="39">
                  <c:v>2836.8999020000001</c:v>
                </c:pt>
                <c:pt idx="40">
                  <c:v>2939.8500979999999</c:v>
                </c:pt>
                <c:pt idx="41">
                  <c:v>2950</c:v>
                </c:pt>
                <c:pt idx="42">
                  <c:v>2958.1499020000001</c:v>
                </c:pt>
                <c:pt idx="43">
                  <c:v>2938</c:v>
                </c:pt>
                <c:pt idx="44">
                  <c:v>2965</c:v>
                </c:pt>
                <c:pt idx="45">
                  <c:v>2918.8500979999999</c:v>
                </c:pt>
                <c:pt idx="46">
                  <c:v>2919.6000979999999</c:v>
                </c:pt>
                <c:pt idx="47">
                  <c:v>2953</c:v>
                </c:pt>
                <c:pt idx="48">
                  <c:v>2930</c:v>
                </c:pt>
                <c:pt idx="49">
                  <c:v>2928</c:v>
                </c:pt>
                <c:pt idx="50">
                  <c:v>2930.8000489999999</c:v>
                </c:pt>
                <c:pt idx="51">
                  <c:v>2945</c:v>
                </c:pt>
                <c:pt idx="52">
                  <c:v>2960</c:v>
                </c:pt>
                <c:pt idx="53">
                  <c:v>2955.1000979999999</c:v>
                </c:pt>
                <c:pt idx="54">
                  <c:v>2970</c:v>
                </c:pt>
                <c:pt idx="55">
                  <c:v>3029</c:v>
                </c:pt>
                <c:pt idx="56">
                  <c:v>3017.9499510000001</c:v>
                </c:pt>
                <c:pt idx="57">
                  <c:v>3061.5500489999999</c:v>
                </c:pt>
                <c:pt idx="58">
                  <c:v>3024.1999510000001</c:v>
                </c:pt>
                <c:pt idx="59">
                  <c:v>3085</c:v>
                </c:pt>
                <c:pt idx="60">
                  <c:v>3030</c:v>
                </c:pt>
                <c:pt idx="61">
                  <c:v>2987.3500979999999</c:v>
                </c:pt>
                <c:pt idx="62">
                  <c:v>3030.1999510000001</c:v>
                </c:pt>
                <c:pt idx="63">
                  <c:v>3024</c:v>
                </c:pt>
                <c:pt idx="64">
                  <c:v>2989</c:v>
                </c:pt>
                <c:pt idx="65">
                  <c:v>2999</c:v>
                </c:pt>
                <c:pt idx="66">
                  <c:v>3008</c:v>
                </c:pt>
                <c:pt idx="67">
                  <c:v>3032.9499510000001</c:v>
                </c:pt>
                <c:pt idx="68">
                  <c:v>3020</c:v>
                </c:pt>
                <c:pt idx="69">
                  <c:v>3003</c:v>
                </c:pt>
                <c:pt idx="70">
                  <c:v>3065</c:v>
                </c:pt>
                <c:pt idx="71">
                  <c:v>3050</c:v>
                </c:pt>
                <c:pt idx="72">
                  <c:v>3022</c:v>
                </c:pt>
                <c:pt idx="73">
                  <c:v>3034.8999020000001</c:v>
                </c:pt>
                <c:pt idx="74">
                  <c:v>3020</c:v>
                </c:pt>
                <c:pt idx="75">
                  <c:v>3003</c:v>
                </c:pt>
                <c:pt idx="76">
                  <c:v>3010</c:v>
                </c:pt>
                <c:pt idx="77">
                  <c:v>2994</c:v>
                </c:pt>
                <c:pt idx="78">
                  <c:v>2989.3000489999999</c:v>
                </c:pt>
                <c:pt idx="79">
                  <c:v>2996</c:v>
                </c:pt>
                <c:pt idx="80">
                  <c:v>3130</c:v>
                </c:pt>
                <c:pt idx="81">
                  <c:v>3106</c:v>
                </c:pt>
                <c:pt idx="82">
                  <c:v>3079.9499510000001</c:v>
                </c:pt>
                <c:pt idx="83">
                  <c:v>3079.3999020000001</c:v>
                </c:pt>
                <c:pt idx="84">
                  <c:v>3030.3500979999999</c:v>
                </c:pt>
                <c:pt idx="85">
                  <c:v>3004.1000979999999</c:v>
                </c:pt>
                <c:pt idx="86">
                  <c:v>3008</c:v>
                </c:pt>
                <c:pt idx="87">
                  <c:v>2985.6000979999999</c:v>
                </c:pt>
                <c:pt idx="88">
                  <c:v>3020</c:v>
                </c:pt>
                <c:pt idx="89">
                  <c:v>3040.6000979999999</c:v>
                </c:pt>
                <c:pt idx="90">
                  <c:v>3034</c:v>
                </c:pt>
                <c:pt idx="91">
                  <c:v>2995</c:v>
                </c:pt>
                <c:pt idx="92">
                  <c:v>2994.6499020000001</c:v>
                </c:pt>
                <c:pt idx="93">
                  <c:v>2998</c:v>
                </c:pt>
                <c:pt idx="94">
                  <c:v>2987.3999020000001</c:v>
                </c:pt>
                <c:pt idx="95">
                  <c:v>2974</c:v>
                </c:pt>
                <c:pt idx="96">
                  <c:v>2980.8999020000001</c:v>
                </c:pt>
                <c:pt idx="97">
                  <c:v>2980</c:v>
                </c:pt>
                <c:pt idx="98">
                  <c:v>2974</c:v>
                </c:pt>
                <c:pt idx="99">
                  <c:v>3048</c:v>
                </c:pt>
                <c:pt idx="100">
                  <c:v>3001.5</c:v>
                </c:pt>
                <c:pt idx="101">
                  <c:v>3159.0500489999999</c:v>
                </c:pt>
                <c:pt idx="102">
                  <c:v>3092.8000489999999</c:v>
                </c:pt>
                <c:pt idx="103">
                  <c:v>3026</c:v>
                </c:pt>
                <c:pt idx="104">
                  <c:v>3064</c:v>
                </c:pt>
                <c:pt idx="105">
                  <c:v>3040.4499510000001</c:v>
                </c:pt>
                <c:pt idx="106">
                  <c:v>3056.6999510000001</c:v>
                </c:pt>
                <c:pt idx="107">
                  <c:v>3108.75</c:v>
                </c:pt>
                <c:pt idx="108">
                  <c:v>3230.0500489999999</c:v>
                </c:pt>
                <c:pt idx="109">
                  <c:v>3312.9499510000001</c:v>
                </c:pt>
                <c:pt idx="110">
                  <c:v>3301.6000979999999</c:v>
                </c:pt>
                <c:pt idx="111">
                  <c:v>3342</c:v>
                </c:pt>
                <c:pt idx="112">
                  <c:v>3333.5</c:v>
                </c:pt>
                <c:pt idx="113">
                  <c:v>3345</c:v>
                </c:pt>
                <c:pt idx="114">
                  <c:v>3305</c:v>
                </c:pt>
                <c:pt idx="115">
                  <c:v>3346.6000979999999</c:v>
                </c:pt>
                <c:pt idx="116">
                  <c:v>3384.8999020000001</c:v>
                </c:pt>
                <c:pt idx="117">
                  <c:v>3361.8500979999999</c:v>
                </c:pt>
                <c:pt idx="118">
                  <c:v>3350</c:v>
                </c:pt>
                <c:pt idx="119">
                  <c:v>3352</c:v>
                </c:pt>
                <c:pt idx="120">
                  <c:v>3299.9499510000001</c:v>
                </c:pt>
                <c:pt idx="121">
                  <c:v>3271.5500489999999</c:v>
                </c:pt>
                <c:pt idx="122">
                  <c:v>3328.5</c:v>
                </c:pt>
                <c:pt idx="123">
                  <c:v>3340</c:v>
                </c:pt>
                <c:pt idx="124">
                  <c:v>3330</c:v>
                </c:pt>
                <c:pt idx="125">
                  <c:v>3461.6000979999999</c:v>
                </c:pt>
                <c:pt idx="126">
                  <c:v>3424.8999020000001</c:v>
                </c:pt>
                <c:pt idx="127">
                  <c:v>3365</c:v>
                </c:pt>
                <c:pt idx="128">
                  <c:v>3329.8999020000001</c:v>
                </c:pt>
                <c:pt idx="129">
                  <c:v>3248</c:v>
                </c:pt>
                <c:pt idx="130">
                  <c:v>3202.8000489999999</c:v>
                </c:pt>
                <c:pt idx="131">
                  <c:v>3208.5500489999999</c:v>
                </c:pt>
                <c:pt idx="132">
                  <c:v>3262</c:v>
                </c:pt>
                <c:pt idx="133">
                  <c:v>3220</c:v>
                </c:pt>
                <c:pt idx="134">
                  <c:v>3307</c:v>
                </c:pt>
                <c:pt idx="135">
                  <c:v>3326.3999020000001</c:v>
                </c:pt>
                <c:pt idx="136">
                  <c:v>3280</c:v>
                </c:pt>
                <c:pt idx="137">
                  <c:v>3343</c:v>
                </c:pt>
                <c:pt idx="138">
                  <c:v>3342</c:v>
                </c:pt>
                <c:pt idx="139">
                  <c:v>3252.5</c:v>
                </c:pt>
                <c:pt idx="140">
                  <c:v>3260.8999020000001</c:v>
                </c:pt>
                <c:pt idx="141">
                  <c:v>3190</c:v>
                </c:pt>
                <c:pt idx="142">
                  <c:v>3194</c:v>
                </c:pt>
                <c:pt idx="143">
                  <c:v>2975</c:v>
                </c:pt>
                <c:pt idx="144">
                  <c:v>2950</c:v>
                </c:pt>
                <c:pt idx="145">
                  <c:v>2918.0500489999999</c:v>
                </c:pt>
                <c:pt idx="146">
                  <c:v>3029.1999510000001</c:v>
                </c:pt>
                <c:pt idx="147">
                  <c:v>3103</c:v>
                </c:pt>
                <c:pt idx="148">
                  <c:v>3125</c:v>
                </c:pt>
                <c:pt idx="149">
                  <c:v>3128</c:v>
                </c:pt>
                <c:pt idx="150">
                  <c:v>3120</c:v>
                </c:pt>
                <c:pt idx="151">
                  <c:v>3102.1000979999999</c:v>
                </c:pt>
                <c:pt idx="152">
                  <c:v>3179</c:v>
                </c:pt>
                <c:pt idx="153">
                  <c:v>3165</c:v>
                </c:pt>
                <c:pt idx="154">
                  <c:v>3140</c:v>
                </c:pt>
                <c:pt idx="155">
                  <c:v>3132</c:v>
                </c:pt>
                <c:pt idx="156">
                  <c:v>3090</c:v>
                </c:pt>
                <c:pt idx="157">
                  <c:v>3089</c:v>
                </c:pt>
                <c:pt idx="158">
                  <c:v>3126</c:v>
                </c:pt>
                <c:pt idx="159">
                  <c:v>3165</c:v>
                </c:pt>
                <c:pt idx="160">
                  <c:v>3170</c:v>
                </c:pt>
                <c:pt idx="161">
                  <c:v>3249.8500979999999</c:v>
                </c:pt>
                <c:pt idx="162">
                  <c:v>3241</c:v>
                </c:pt>
                <c:pt idx="163">
                  <c:v>3261.25</c:v>
                </c:pt>
                <c:pt idx="164">
                  <c:v>3186.0500489999999</c:v>
                </c:pt>
                <c:pt idx="165">
                  <c:v>3156.5</c:v>
                </c:pt>
                <c:pt idx="166">
                  <c:v>3101</c:v>
                </c:pt>
                <c:pt idx="167">
                  <c:v>3131</c:v>
                </c:pt>
                <c:pt idx="168">
                  <c:v>3116.1499020000001</c:v>
                </c:pt>
                <c:pt idx="169">
                  <c:v>3155.8999020000001</c:v>
                </c:pt>
                <c:pt idx="170">
                  <c:v>3160</c:v>
                </c:pt>
                <c:pt idx="171">
                  <c:v>3185</c:v>
                </c:pt>
                <c:pt idx="172">
                  <c:v>3115</c:v>
                </c:pt>
                <c:pt idx="173">
                  <c:v>3040</c:v>
                </c:pt>
                <c:pt idx="174">
                  <c:v>3031.8999020000001</c:v>
                </c:pt>
                <c:pt idx="175">
                  <c:v>3152.3999020000001</c:v>
                </c:pt>
                <c:pt idx="176">
                  <c:v>3184</c:v>
                </c:pt>
                <c:pt idx="177">
                  <c:v>3285.1000979999999</c:v>
                </c:pt>
                <c:pt idx="178">
                  <c:v>3274</c:v>
                </c:pt>
                <c:pt idx="179">
                  <c:v>3278.1499020000001</c:v>
                </c:pt>
                <c:pt idx="180">
                  <c:v>3325</c:v>
                </c:pt>
                <c:pt idx="181">
                  <c:v>3275</c:v>
                </c:pt>
                <c:pt idx="182">
                  <c:v>3227</c:v>
                </c:pt>
                <c:pt idx="183">
                  <c:v>3247</c:v>
                </c:pt>
                <c:pt idx="184">
                  <c:v>3275.6999510000001</c:v>
                </c:pt>
                <c:pt idx="185">
                  <c:v>3290</c:v>
                </c:pt>
                <c:pt idx="186">
                  <c:v>3280</c:v>
                </c:pt>
                <c:pt idx="187">
                  <c:v>3280.1000979999999</c:v>
                </c:pt>
                <c:pt idx="188">
                  <c:v>3275.9499510000001</c:v>
                </c:pt>
                <c:pt idx="189">
                  <c:v>3372.1999510000001</c:v>
                </c:pt>
                <c:pt idx="190">
                  <c:v>3363.25</c:v>
                </c:pt>
                <c:pt idx="191">
                  <c:v>3390</c:v>
                </c:pt>
                <c:pt idx="192">
                  <c:v>3383</c:v>
                </c:pt>
                <c:pt idx="193">
                  <c:v>3434</c:v>
                </c:pt>
                <c:pt idx="194">
                  <c:v>3470</c:v>
                </c:pt>
                <c:pt idx="195">
                  <c:v>3491.1499020000001</c:v>
                </c:pt>
                <c:pt idx="196">
                  <c:v>3514.6499020000001</c:v>
                </c:pt>
                <c:pt idx="197">
                  <c:v>3580</c:v>
                </c:pt>
                <c:pt idx="198">
                  <c:v>3550.6000979999999</c:v>
                </c:pt>
                <c:pt idx="199">
                  <c:v>3556.8999020000001</c:v>
                </c:pt>
                <c:pt idx="200">
                  <c:v>3560</c:v>
                </c:pt>
                <c:pt idx="201">
                  <c:v>3462</c:v>
                </c:pt>
                <c:pt idx="202">
                  <c:v>3364.3999020000001</c:v>
                </c:pt>
                <c:pt idx="203">
                  <c:v>3379.0500489999999</c:v>
                </c:pt>
                <c:pt idx="204">
                  <c:v>3370</c:v>
                </c:pt>
                <c:pt idx="205">
                  <c:v>3282</c:v>
                </c:pt>
                <c:pt idx="206">
                  <c:v>3300.0500489999999</c:v>
                </c:pt>
                <c:pt idx="207">
                  <c:v>3268</c:v>
                </c:pt>
                <c:pt idx="208">
                  <c:v>3100</c:v>
                </c:pt>
                <c:pt idx="209">
                  <c:v>3140.1000979999999</c:v>
                </c:pt>
                <c:pt idx="210">
                  <c:v>3130</c:v>
                </c:pt>
                <c:pt idx="211">
                  <c:v>3140</c:v>
                </c:pt>
                <c:pt idx="212">
                  <c:v>3194</c:v>
                </c:pt>
                <c:pt idx="213">
                  <c:v>3204.8000489999999</c:v>
                </c:pt>
                <c:pt idx="214">
                  <c:v>3212.8500979999999</c:v>
                </c:pt>
                <c:pt idx="215">
                  <c:v>3188</c:v>
                </c:pt>
                <c:pt idx="216">
                  <c:v>3234</c:v>
                </c:pt>
                <c:pt idx="217">
                  <c:v>3179</c:v>
                </c:pt>
                <c:pt idx="218">
                  <c:v>3230</c:v>
                </c:pt>
                <c:pt idx="219">
                  <c:v>3220</c:v>
                </c:pt>
                <c:pt idx="220">
                  <c:v>3229.9499510000001</c:v>
                </c:pt>
                <c:pt idx="221">
                  <c:v>3140</c:v>
                </c:pt>
                <c:pt idx="222">
                  <c:v>3140</c:v>
                </c:pt>
                <c:pt idx="223">
                  <c:v>3280</c:v>
                </c:pt>
                <c:pt idx="224">
                  <c:v>3273</c:v>
                </c:pt>
                <c:pt idx="225">
                  <c:v>3236.1499020000001</c:v>
                </c:pt>
                <c:pt idx="226">
                  <c:v>3235</c:v>
                </c:pt>
                <c:pt idx="227">
                  <c:v>3120</c:v>
                </c:pt>
                <c:pt idx="228">
                  <c:v>3236.8999020000001</c:v>
                </c:pt>
                <c:pt idx="229">
                  <c:v>3130</c:v>
                </c:pt>
                <c:pt idx="230">
                  <c:v>3105</c:v>
                </c:pt>
                <c:pt idx="231">
                  <c:v>3090</c:v>
                </c:pt>
                <c:pt idx="232">
                  <c:v>3107</c:v>
                </c:pt>
                <c:pt idx="233">
                  <c:v>3029</c:v>
                </c:pt>
                <c:pt idx="234">
                  <c:v>2863.8000489999999</c:v>
                </c:pt>
                <c:pt idx="235">
                  <c:v>2649.8999020000001</c:v>
                </c:pt>
                <c:pt idx="236">
                  <c:v>2690</c:v>
                </c:pt>
                <c:pt idx="237">
                  <c:v>2750</c:v>
                </c:pt>
                <c:pt idx="238">
                  <c:v>3000</c:v>
                </c:pt>
                <c:pt idx="239">
                  <c:v>2917</c:v>
                </c:pt>
                <c:pt idx="240">
                  <c:v>2950</c:v>
                </c:pt>
                <c:pt idx="241">
                  <c:v>2998</c:v>
                </c:pt>
                <c:pt idx="242">
                  <c:v>3043</c:v>
                </c:pt>
                <c:pt idx="243">
                  <c:v>3113.5</c:v>
                </c:pt>
                <c:pt idx="244">
                  <c:v>3117.3000489999999</c:v>
                </c:pt>
                <c:pt idx="245">
                  <c:v>3024</c:v>
                </c:pt>
                <c:pt idx="246">
                  <c:v>3060</c:v>
                </c:pt>
                <c:pt idx="247">
                  <c:v>2969.5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9C5-8E05-2668EF1A1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914079"/>
        <c:axId val="1249914559"/>
      </c:lineChart>
      <c:dateAx>
        <c:axId val="12499140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14559"/>
        <c:crosses val="autoZero"/>
        <c:auto val="1"/>
        <c:lblOffset val="100"/>
        <c:baseTimeUnit val="days"/>
      </c:dateAx>
      <c:valAx>
        <c:axId val="12499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1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1</xdr:row>
      <xdr:rowOff>7620</xdr:rowOff>
    </xdr:from>
    <xdr:to>
      <xdr:col>15</xdr:col>
      <xdr:colOff>15240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2A616-23CA-20FA-50E9-354DF1ADB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1</xdr:row>
      <xdr:rowOff>11430</xdr:rowOff>
    </xdr:from>
    <xdr:to>
      <xdr:col>15</xdr:col>
      <xdr:colOff>15240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CB129-9400-B311-6007-C5223AA9D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</xdr:colOff>
      <xdr:row>3</xdr:row>
      <xdr:rowOff>7620</xdr:rowOff>
    </xdr:from>
    <xdr:to>
      <xdr:col>24</xdr:col>
      <xdr:colOff>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E5A196-4071-4742-1443-53CCC84AA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0646-6305-4372-8782-6FFE9DBD8EB9}">
  <dimension ref="A1:J249"/>
  <sheetViews>
    <sheetView workbookViewId="0">
      <selection activeCell="L18" sqref="L18"/>
    </sheetView>
  </sheetViews>
  <sheetFormatPr defaultRowHeight="14.4" x14ac:dyDescent="0.3"/>
  <cols>
    <col min="1" max="1" width="14.6640625" style="1" customWidth="1"/>
    <col min="2" max="6" width="19.33203125" style="1" customWidth="1"/>
    <col min="7" max="7" width="11.77734375" style="1" customWidth="1"/>
    <col min="8" max="8" width="3.6640625" customWidth="1"/>
    <col min="9" max="9" width="17.21875" customWidth="1"/>
    <col min="10" max="10" width="10.33203125" bestFit="1" customWidth="1"/>
  </cols>
  <sheetData>
    <row r="1" spans="1:7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s="2">
        <v>44279</v>
      </c>
      <c r="B2" s="1">
        <v>2933.6499020000001</v>
      </c>
      <c r="C2" s="1">
        <v>2947.6999510000001</v>
      </c>
      <c r="D2" s="1">
        <v>2840</v>
      </c>
      <c r="E2" s="1">
        <v>2855.6000979999999</v>
      </c>
      <c r="F2" s="1">
        <v>2855.6000979999999</v>
      </c>
      <c r="G2" s="1">
        <v>455895</v>
      </c>
    </row>
    <row r="3" spans="1:7" x14ac:dyDescent="0.3">
      <c r="A3" s="2">
        <v>44280</v>
      </c>
      <c r="B3" s="1">
        <v>2875</v>
      </c>
      <c r="C3" s="1">
        <v>2893</v>
      </c>
      <c r="D3" s="1">
        <v>2775</v>
      </c>
      <c r="E3" s="1">
        <v>2796</v>
      </c>
      <c r="F3" s="1">
        <v>2796</v>
      </c>
      <c r="G3" s="1">
        <v>621113</v>
      </c>
    </row>
    <row r="4" spans="1:7" x14ac:dyDescent="0.3">
      <c r="A4" s="2">
        <v>44281</v>
      </c>
      <c r="B4" s="1">
        <v>2829</v>
      </c>
      <c r="C4" s="1">
        <v>2898.8000489999999</v>
      </c>
      <c r="D4" s="1">
        <v>2805</v>
      </c>
      <c r="E4" s="1">
        <v>2855.1999510000001</v>
      </c>
      <c r="F4" s="1">
        <v>2855.1999510000001</v>
      </c>
      <c r="G4" s="1">
        <v>482759</v>
      </c>
    </row>
    <row r="5" spans="1:7" x14ac:dyDescent="0.3">
      <c r="A5" s="2">
        <v>44285</v>
      </c>
      <c r="B5" s="1">
        <v>2867</v>
      </c>
      <c r="C5" s="1">
        <v>2918</v>
      </c>
      <c r="D5" s="1">
        <v>2807</v>
      </c>
      <c r="E5" s="1">
        <v>2837.5500489999999</v>
      </c>
      <c r="F5" s="1">
        <v>2837.5500489999999</v>
      </c>
      <c r="G5" s="1">
        <v>696632</v>
      </c>
    </row>
    <row r="6" spans="1:7" x14ac:dyDescent="0.3">
      <c r="A6" s="2">
        <v>44286</v>
      </c>
      <c r="B6" s="1">
        <v>2869</v>
      </c>
      <c r="C6" s="1">
        <v>2890</v>
      </c>
      <c r="D6" s="1">
        <v>2830</v>
      </c>
      <c r="E6" s="1">
        <v>2859.0500489999999</v>
      </c>
      <c r="F6" s="1">
        <v>2859.0500489999999</v>
      </c>
      <c r="G6" s="1">
        <v>433044</v>
      </c>
    </row>
    <row r="7" spans="1:7" x14ac:dyDescent="0.3">
      <c r="A7" s="2">
        <v>44287</v>
      </c>
      <c r="B7" s="1">
        <v>2885</v>
      </c>
      <c r="C7" s="1">
        <v>2925</v>
      </c>
      <c r="D7" s="1">
        <v>2855.5</v>
      </c>
      <c r="E7" s="1">
        <v>2912.6999510000001</v>
      </c>
      <c r="F7" s="1">
        <v>2912.6999510000001</v>
      </c>
      <c r="G7" s="1">
        <v>416624</v>
      </c>
    </row>
    <row r="8" spans="1:7" x14ac:dyDescent="0.3">
      <c r="A8" s="2">
        <v>44291</v>
      </c>
      <c r="B8" s="1">
        <v>2890</v>
      </c>
      <c r="C8" s="1">
        <v>2890</v>
      </c>
      <c r="D8" s="1">
        <v>2793</v>
      </c>
      <c r="E8" s="1">
        <v>2846.9499510000001</v>
      </c>
      <c r="F8" s="1">
        <v>2846.9499510000001</v>
      </c>
      <c r="G8" s="1">
        <v>460926</v>
      </c>
    </row>
    <row r="9" spans="1:7" x14ac:dyDescent="0.3">
      <c r="A9" s="2">
        <v>44292</v>
      </c>
      <c r="B9" s="1">
        <v>2873</v>
      </c>
      <c r="C9" s="1">
        <v>2878.1000979999999</v>
      </c>
      <c r="D9" s="1">
        <v>2826.1000979999999</v>
      </c>
      <c r="E9" s="1">
        <v>2843.6499020000001</v>
      </c>
      <c r="F9" s="1">
        <v>2843.6499020000001</v>
      </c>
      <c r="G9" s="1">
        <v>342977</v>
      </c>
    </row>
    <row r="10" spans="1:7" x14ac:dyDescent="0.3">
      <c r="A10" s="2">
        <v>44293</v>
      </c>
      <c r="B10" s="1">
        <v>2855</v>
      </c>
      <c r="C10" s="1">
        <v>2900</v>
      </c>
      <c r="D10" s="1">
        <v>2835</v>
      </c>
      <c r="E10" s="1">
        <v>2890.6499020000001</v>
      </c>
      <c r="F10" s="1">
        <v>2890.6499020000001</v>
      </c>
      <c r="G10" s="1">
        <v>334645</v>
      </c>
    </row>
    <row r="11" spans="1:7" x14ac:dyDescent="0.3">
      <c r="A11" s="2">
        <v>44294</v>
      </c>
      <c r="B11" s="1">
        <v>2899.6499020000001</v>
      </c>
      <c r="C11" s="1">
        <v>2945</v>
      </c>
      <c r="D11" s="1">
        <v>2890.6499020000001</v>
      </c>
      <c r="E11" s="1">
        <v>2936.5</v>
      </c>
      <c r="F11" s="1">
        <v>2936.5</v>
      </c>
      <c r="G11" s="1">
        <v>478173</v>
      </c>
    </row>
    <row r="12" spans="1:7" x14ac:dyDescent="0.3">
      <c r="A12" s="2">
        <v>44295</v>
      </c>
      <c r="B12" s="1">
        <v>2937.1000979999999</v>
      </c>
      <c r="C12" s="1">
        <v>2973.3500979999999</v>
      </c>
      <c r="D12" s="1">
        <v>2917.25</v>
      </c>
      <c r="E12" s="1">
        <v>2947.75</v>
      </c>
      <c r="F12" s="1">
        <v>2947.75</v>
      </c>
      <c r="G12" s="1">
        <v>808884</v>
      </c>
    </row>
    <row r="13" spans="1:7" x14ac:dyDescent="0.3">
      <c r="A13" s="2">
        <v>44298</v>
      </c>
      <c r="B13" s="1">
        <v>2861.1000979999999</v>
      </c>
      <c r="C13" s="1">
        <v>2889</v>
      </c>
      <c r="D13" s="1">
        <v>2790.1000979999999</v>
      </c>
      <c r="E13" s="1">
        <v>2814.8999020000001</v>
      </c>
      <c r="F13" s="1">
        <v>2814.8999020000001</v>
      </c>
      <c r="G13" s="1">
        <v>475661</v>
      </c>
    </row>
    <row r="14" spans="1:7" x14ac:dyDescent="0.3">
      <c r="A14" s="2">
        <v>44299</v>
      </c>
      <c r="B14" s="1">
        <v>2832.9499510000001</v>
      </c>
      <c r="C14" s="1">
        <v>2885</v>
      </c>
      <c r="D14" s="1">
        <v>2812</v>
      </c>
      <c r="E14" s="1">
        <v>2832.6999510000001</v>
      </c>
      <c r="F14" s="1">
        <v>2832.6999510000001</v>
      </c>
      <c r="G14" s="1">
        <v>267793</v>
      </c>
    </row>
    <row r="15" spans="1:7" x14ac:dyDescent="0.3">
      <c r="A15" s="2">
        <v>44301</v>
      </c>
      <c r="B15" s="1">
        <v>2844</v>
      </c>
      <c r="C15" s="1">
        <v>2952.9499510000001</v>
      </c>
      <c r="D15" s="1">
        <v>2828.1000979999999</v>
      </c>
      <c r="E15" s="1">
        <v>2928.8999020000001</v>
      </c>
      <c r="F15" s="1">
        <v>2928.8999020000001</v>
      </c>
      <c r="G15" s="1">
        <v>377544</v>
      </c>
    </row>
    <row r="16" spans="1:7" x14ac:dyDescent="0.3">
      <c r="A16" s="2">
        <v>44302</v>
      </c>
      <c r="B16" s="1">
        <v>2947</v>
      </c>
      <c r="C16" s="1">
        <v>2980</v>
      </c>
      <c r="D16" s="1">
        <v>2902</v>
      </c>
      <c r="E16" s="1">
        <v>2919.8999020000001</v>
      </c>
      <c r="F16" s="1">
        <v>2919.8999020000001</v>
      </c>
      <c r="G16" s="1">
        <v>334483</v>
      </c>
    </row>
    <row r="17" spans="1:10" x14ac:dyDescent="0.3">
      <c r="A17" s="2">
        <v>44305</v>
      </c>
      <c r="B17" s="1">
        <v>2860.4499510000001</v>
      </c>
      <c r="C17" s="1">
        <v>2869.5</v>
      </c>
      <c r="D17" s="1">
        <v>2820.25</v>
      </c>
      <c r="E17" s="1">
        <v>2850.75</v>
      </c>
      <c r="F17" s="1">
        <v>2850.75</v>
      </c>
      <c r="G17" s="1">
        <v>267692</v>
      </c>
      <c r="I17" s="1" t="s">
        <v>0</v>
      </c>
      <c r="J17" s="2">
        <v>44644</v>
      </c>
    </row>
    <row r="18" spans="1:10" x14ac:dyDescent="0.3">
      <c r="A18" s="2">
        <v>44306</v>
      </c>
      <c r="B18" s="1">
        <v>2880</v>
      </c>
      <c r="C18" s="1">
        <v>2889.8000489999999</v>
      </c>
      <c r="D18" s="1">
        <v>2756</v>
      </c>
      <c r="E18" s="1">
        <v>2778.25</v>
      </c>
      <c r="F18" s="1">
        <v>2778.25</v>
      </c>
      <c r="G18" s="1">
        <v>451846</v>
      </c>
      <c r="I18" s="1" t="s">
        <v>15</v>
      </c>
      <c r="J18" s="1">
        <f>INDEX(A:G, MATCH(J17,A:A,0),MATCH(I18,A1:G1,0))</f>
        <v>4086.25</v>
      </c>
    </row>
    <row r="19" spans="1:10" x14ac:dyDescent="0.3">
      <c r="A19" s="2">
        <v>44308</v>
      </c>
      <c r="B19" s="1">
        <v>2785</v>
      </c>
      <c r="C19" s="1">
        <v>2792.8500979999999</v>
      </c>
      <c r="D19" s="1">
        <v>2699</v>
      </c>
      <c r="E19" s="1">
        <v>2717.6000979999999</v>
      </c>
      <c r="F19" s="1">
        <v>2717.6000979999999</v>
      </c>
      <c r="G19" s="1">
        <v>913846</v>
      </c>
      <c r="I19" s="1" t="s">
        <v>16</v>
      </c>
      <c r="J19" s="1">
        <f>INDEX(A:G, MATCH(J17, A:A, 0), MATCH(I19, A1:G1, 0))</f>
        <v>4086.25</v>
      </c>
    </row>
    <row r="20" spans="1:10" x14ac:dyDescent="0.3">
      <c r="A20" s="2">
        <v>44309</v>
      </c>
      <c r="B20" s="1">
        <v>2709</v>
      </c>
      <c r="C20" s="1">
        <v>2743.8999020000001</v>
      </c>
      <c r="D20" s="1">
        <v>2676.3999020000001</v>
      </c>
      <c r="E20" s="1">
        <v>2713.6999510000001</v>
      </c>
      <c r="F20" s="1">
        <v>2713.6999510000001</v>
      </c>
      <c r="G20" s="1">
        <v>436472</v>
      </c>
      <c r="I20" s="1" t="s">
        <v>17</v>
      </c>
      <c r="J20" s="1">
        <f>INDEX(A:G, MATCH(J17, A:A, 0), MATCH(I20, A1:G1, 0))</f>
        <v>4031.5500489999999</v>
      </c>
    </row>
    <row r="21" spans="1:10" x14ac:dyDescent="0.3">
      <c r="A21" s="2">
        <v>44312</v>
      </c>
      <c r="B21" s="1">
        <v>2729.8999020000001</v>
      </c>
      <c r="C21" s="1">
        <v>2819.3999020000001</v>
      </c>
      <c r="D21" s="1">
        <v>2719.1499020000001</v>
      </c>
      <c r="E21" s="1">
        <v>2808.25</v>
      </c>
      <c r="F21" s="1">
        <v>2808.25</v>
      </c>
      <c r="G21" s="1">
        <v>476865</v>
      </c>
      <c r="I21" s="1" t="s">
        <v>13</v>
      </c>
      <c r="J21" s="1">
        <f>MAX(C:C)</f>
        <v>5900</v>
      </c>
    </row>
    <row r="22" spans="1:10" x14ac:dyDescent="0.3">
      <c r="A22" s="2">
        <v>44313</v>
      </c>
      <c r="B22" s="1">
        <v>2815</v>
      </c>
      <c r="C22" s="1">
        <v>2865</v>
      </c>
      <c r="D22" s="1">
        <v>2810</v>
      </c>
      <c r="E22" s="1">
        <v>2826.9499510000001</v>
      </c>
      <c r="F22" s="1">
        <v>2826.9499510000001</v>
      </c>
      <c r="G22" s="1">
        <v>394477</v>
      </c>
      <c r="I22" s="1" t="s">
        <v>14</v>
      </c>
      <c r="J22" s="1">
        <f>MIN(D:D)</f>
        <v>2676.3999020000001</v>
      </c>
    </row>
    <row r="23" spans="1:10" x14ac:dyDescent="0.3">
      <c r="A23" s="2">
        <v>44314</v>
      </c>
      <c r="B23" s="1">
        <v>2865</v>
      </c>
      <c r="C23" s="1">
        <v>2953.6999510000001</v>
      </c>
      <c r="D23" s="1">
        <v>2850.9499510000001</v>
      </c>
      <c r="E23" s="1">
        <v>2936.8000489999999</v>
      </c>
      <c r="F23" s="1">
        <v>2936.8000489999999</v>
      </c>
      <c r="G23" s="1">
        <v>542978</v>
      </c>
    </row>
    <row r="24" spans="1:10" x14ac:dyDescent="0.3">
      <c r="A24" s="2">
        <v>44315</v>
      </c>
      <c r="B24" s="1">
        <v>2960</v>
      </c>
      <c r="C24" s="1">
        <v>2988</v>
      </c>
      <c r="D24" s="1">
        <v>2880</v>
      </c>
      <c r="E24" s="1">
        <v>2906.3500979999999</v>
      </c>
      <c r="F24" s="1">
        <v>2906.3500979999999</v>
      </c>
      <c r="G24" s="1">
        <v>296752</v>
      </c>
    </row>
    <row r="25" spans="1:10" x14ac:dyDescent="0.3">
      <c r="A25" s="2">
        <v>44316</v>
      </c>
      <c r="B25" s="1">
        <v>2889.8000489999999</v>
      </c>
      <c r="C25" s="1">
        <v>2931.8999020000001</v>
      </c>
      <c r="D25" s="1">
        <v>2818.8999020000001</v>
      </c>
      <c r="E25" s="1">
        <v>2852.8999020000001</v>
      </c>
      <c r="F25" s="1">
        <v>2852.8999020000001</v>
      </c>
      <c r="G25" s="1">
        <v>322948</v>
      </c>
    </row>
    <row r="26" spans="1:10" x14ac:dyDescent="0.3">
      <c r="A26" s="2">
        <v>44319</v>
      </c>
      <c r="B26" s="1">
        <v>2845</v>
      </c>
      <c r="C26" s="1">
        <v>2911</v>
      </c>
      <c r="D26" s="1">
        <v>2822.8999020000001</v>
      </c>
      <c r="E26" s="1">
        <v>2898.6499020000001</v>
      </c>
      <c r="F26" s="1">
        <v>2898.6499020000001</v>
      </c>
      <c r="G26" s="1">
        <v>232238</v>
      </c>
    </row>
    <row r="27" spans="1:10" x14ac:dyDescent="0.3">
      <c r="A27" s="2">
        <v>44320</v>
      </c>
      <c r="B27" s="1">
        <v>2908</v>
      </c>
      <c r="C27" s="1">
        <v>2934.75</v>
      </c>
      <c r="D27" s="1">
        <v>2845</v>
      </c>
      <c r="E27" s="1">
        <v>2858.3999020000001</v>
      </c>
      <c r="F27" s="1">
        <v>2858.3999020000001</v>
      </c>
      <c r="G27" s="1">
        <v>239282</v>
      </c>
    </row>
    <row r="28" spans="1:10" x14ac:dyDescent="0.3">
      <c r="A28" s="2">
        <v>44321</v>
      </c>
      <c r="B28" s="1">
        <v>2878.6999510000001</v>
      </c>
      <c r="C28" s="1">
        <v>2889.6000979999999</v>
      </c>
      <c r="D28" s="1">
        <v>2855</v>
      </c>
      <c r="E28" s="1">
        <v>2874.3999020000001</v>
      </c>
      <c r="F28" s="1">
        <v>2874.3999020000001</v>
      </c>
      <c r="G28" s="1">
        <v>136956</v>
      </c>
    </row>
    <row r="29" spans="1:10" x14ac:dyDescent="0.3">
      <c r="A29" s="2">
        <v>44322</v>
      </c>
      <c r="B29" s="1">
        <v>2874.9499510000001</v>
      </c>
      <c r="C29" s="1">
        <v>2895</v>
      </c>
      <c r="D29" s="1">
        <v>2850.5</v>
      </c>
      <c r="E29" s="1">
        <v>2878.1499020000001</v>
      </c>
      <c r="F29" s="1">
        <v>2878.1499020000001</v>
      </c>
      <c r="G29" s="1">
        <v>158581</v>
      </c>
    </row>
    <row r="30" spans="1:10" x14ac:dyDescent="0.3">
      <c r="A30" s="2">
        <v>44323</v>
      </c>
      <c r="B30" s="1">
        <v>2880</v>
      </c>
      <c r="C30" s="1">
        <v>2955</v>
      </c>
      <c r="D30" s="1">
        <v>2855.5</v>
      </c>
      <c r="E30" s="1">
        <v>2895.5</v>
      </c>
      <c r="F30" s="1">
        <v>2895.5</v>
      </c>
      <c r="G30" s="1">
        <v>365600</v>
      </c>
    </row>
    <row r="31" spans="1:10" x14ac:dyDescent="0.3">
      <c r="A31" s="2">
        <v>44326</v>
      </c>
      <c r="B31" s="1">
        <v>2925</v>
      </c>
      <c r="C31" s="1">
        <v>2960</v>
      </c>
      <c r="D31" s="1">
        <v>2840</v>
      </c>
      <c r="E31" s="1">
        <v>2852.4499510000001</v>
      </c>
      <c r="F31" s="1">
        <v>2852.4499510000001</v>
      </c>
      <c r="G31" s="1">
        <v>771218</v>
      </c>
    </row>
    <row r="32" spans="1:10" x14ac:dyDescent="0.3">
      <c r="A32" s="2">
        <v>44327</v>
      </c>
      <c r="B32" s="1">
        <v>2850</v>
      </c>
      <c r="C32" s="1">
        <v>2884.6000979999999</v>
      </c>
      <c r="D32" s="1">
        <v>2825</v>
      </c>
      <c r="E32" s="1">
        <v>2850.5500489999999</v>
      </c>
      <c r="F32" s="1">
        <v>2850.5500489999999</v>
      </c>
      <c r="G32" s="1">
        <v>323511</v>
      </c>
    </row>
    <row r="33" spans="1:7" x14ac:dyDescent="0.3">
      <c r="A33" s="2">
        <v>44328</v>
      </c>
      <c r="B33" s="1">
        <v>2850.5500489999999</v>
      </c>
      <c r="C33" s="1">
        <v>2869.9499510000001</v>
      </c>
      <c r="D33" s="1">
        <v>2827.5</v>
      </c>
      <c r="E33" s="1">
        <v>2856.1499020000001</v>
      </c>
      <c r="F33" s="1">
        <v>2856.1499020000001</v>
      </c>
      <c r="G33" s="1">
        <v>246319</v>
      </c>
    </row>
    <row r="34" spans="1:7" x14ac:dyDescent="0.3">
      <c r="A34" s="2">
        <v>44330</v>
      </c>
      <c r="B34" s="1">
        <v>2874</v>
      </c>
      <c r="C34" s="1">
        <v>2874</v>
      </c>
      <c r="D34" s="1">
        <v>2830</v>
      </c>
      <c r="E34" s="1">
        <v>2844.6499020000001</v>
      </c>
      <c r="F34" s="1">
        <v>2844.6499020000001</v>
      </c>
      <c r="G34" s="1">
        <v>227259</v>
      </c>
    </row>
    <row r="35" spans="1:7" x14ac:dyDescent="0.3">
      <c r="A35" s="2">
        <v>44333</v>
      </c>
      <c r="B35" s="1">
        <v>2864</v>
      </c>
      <c r="C35" s="1">
        <v>2907.8999020000001</v>
      </c>
      <c r="D35" s="1">
        <v>2840.3000489999999</v>
      </c>
      <c r="E35" s="1">
        <v>2898.6999510000001</v>
      </c>
      <c r="F35" s="1">
        <v>2898.6999510000001</v>
      </c>
      <c r="G35" s="1">
        <v>449529</v>
      </c>
    </row>
    <row r="36" spans="1:7" x14ac:dyDescent="0.3">
      <c r="A36" s="2">
        <v>44334</v>
      </c>
      <c r="B36" s="1">
        <v>2920</v>
      </c>
      <c r="C36" s="1">
        <v>3080</v>
      </c>
      <c r="D36" s="1">
        <v>2910.75</v>
      </c>
      <c r="E36" s="1">
        <v>3056.3000489999999</v>
      </c>
      <c r="F36" s="1">
        <v>3056.3000489999999</v>
      </c>
      <c r="G36" s="1">
        <v>1022329</v>
      </c>
    </row>
    <row r="37" spans="1:7" x14ac:dyDescent="0.3">
      <c r="A37" s="2">
        <v>44335</v>
      </c>
      <c r="B37" s="1">
        <v>3069</v>
      </c>
      <c r="C37" s="1">
        <v>3090.9499510000001</v>
      </c>
      <c r="D37" s="1">
        <v>3010.1000979999999</v>
      </c>
      <c r="E37" s="1">
        <v>3027.8999020000001</v>
      </c>
      <c r="F37" s="1">
        <v>3027.8999020000001</v>
      </c>
      <c r="G37" s="1">
        <v>683428</v>
      </c>
    </row>
    <row r="38" spans="1:7" x14ac:dyDescent="0.3">
      <c r="A38" s="2">
        <v>44336</v>
      </c>
      <c r="B38" s="1">
        <v>3055</v>
      </c>
      <c r="C38" s="1">
        <v>3055</v>
      </c>
      <c r="D38" s="1">
        <v>3001</v>
      </c>
      <c r="E38" s="1">
        <v>3026.6000979999999</v>
      </c>
      <c r="F38" s="1">
        <v>3026.6000979999999</v>
      </c>
      <c r="G38" s="1">
        <v>352477</v>
      </c>
    </row>
    <row r="39" spans="1:7" x14ac:dyDescent="0.3">
      <c r="A39" s="2">
        <v>44337</v>
      </c>
      <c r="B39" s="1">
        <v>3041</v>
      </c>
      <c r="C39" s="1">
        <v>3070</v>
      </c>
      <c r="D39" s="1">
        <v>3013</v>
      </c>
      <c r="E39" s="1">
        <v>3034.1499020000001</v>
      </c>
      <c r="F39" s="1">
        <v>3034.1499020000001</v>
      </c>
      <c r="G39" s="1">
        <v>375397</v>
      </c>
    </row>
    <row r="40" spans="1:7" x14ac:dyDescent="0.3">
      <c r="A40" s="2">
        <v>44340</v>
      </c>
      <c r="B40" s="1">
        <v>3046</v>
      </c>
      <c r="C40" s="1">
        <v>3064.6999510000001</v>
      </c>
      <c r="D40" s="1">
        <v>3020</v>
      </c>
      <c r="E40" s="1">
        <v>3040.4499510000001</v>
      </c>
      <c r="F40" s="1">
        <v>3040.4499510000001</v>
      </c>
      <c r="G40" s="1">
        <v>236828</v>
      </c>
    </row>
    <row r="41" spans="1:7" x14ac:dyDescent="0.3">
      <c r="A41" s="2">
        <v>44341</v>
      </c>
      <c r="B41" s="1">
        <v>3055</v>
      </c>
      <c r="C41" s="1">
        <v>3123</v>
      </c>
      <c r="D41" s="1">
        <v>3053</v>
      </c>
      <c r="E41" s="1">
        <v>3103.8500979999999</v>
      </c>
      <c r="F41" s="1">
        <v>3103.8500979999999</v>
      </c>
      <c r="G41" s="1">
        <v>455042</v>
      </c>
    </row>
    <row r="42" spans="1:7" x14ac:dyDescent="0.3">
      <c r="A42" s="2">
        <v>44342</v>
      </c>
      <c r="B42" s="1">
        <v>3125</v>
      </c>
      <c r="C42" s="1">
        <v>3135</v>
      </c>
      <c r="D42" s="1">
        <v>3070.4499510000001</v>
      </c>
      <c r="E42" s="1">
        <v>3096.1999510000001</v>
      </c>
      <c r="F42" s="1">
        <v>3096.1999510000001</v>
      </c>
      <c r="G42" s="1">
        <v>284202</v>
      </c>
    </row>
    <row r="43" spans="1:7" x14ac:dyDescent="0.3">
      <c r="A43" s="2">
        <v>44343</v>
      </c>
      <c r="B43" s="1">
        <v>3100</v>
      </c>
      <c r="C43" s="1">
        <v>3104.9499510000001</v>
      </c>
      <c r="D43" s="1">
        <v>3008.1000979999999</v>
      </c>
      <c r="E43" s="1">
        <v>3025.5</v>
      </c>
      <c r="F43" s="1">
        <v>3025.5</v>
      </c>
      <c r="G43" s="1">
        <v>433634</v>
      </c>
    </row>
    <row r="44" spans="1:7" x14ac:dyDescent="0.3">
      <c r="A44" s="2">
        <v>44344</v>
      </c>
      <c r="B44" s="1">
        <v>3052</v>
      </c>
      <c r="C44" s="1">
        <v>3105.5</v>
      </c>
      <c r="D44" s="1">
        <v>3000</v>
      </c>
      <c r="E44" s="1">
        <v>3022.1000979999999</v>
      </c>
      <c r="F44" s="1">
        <v>3022.1000979999999</v>
      </c>
      <c r="G44" s="1">
        <v>345903</v>
      </c>
    </row>
    <row r="45" spans="1:7" x14ac:dyDescent="0.3">
      <c r="A45" s="2">
        <v>44347</v>
      </c>
      <c r="B45" s="1">
        <v>3042.5</v>
      </c>
      <c r="C45" s="1">
        <v>3085</v>
      </c>
      <c r="D45" s="1">
        <v>3025</v>
      </c>
      <c r="E45" s="1">
        <v>3069.3999020000001</v>
      </c>
      <c r="F45" s="1">
        <v>3069.3999020000001</v>
      </c>
      <c r="G45" s="1">
        <v>318681</v>
      </c>
    </row>
    <row r="46" spans="1:7" x14ac:dyDescent="0.3">
      <c r="A46" s="2">
        <v>44348</v>
      </c>
      <c r="B46" s="1">
        <v>3071.0500489999999</v>
      </c>
      <c r="C46" s="1">
        <v>3087.9499510000001</v>
      </c>
      <c r="D46" s="1">
        <v>3030.8000489999999</v>
      </c>
      <c r="E46" s="1">
        <v>3044.8000489999999</v>
      </c>
      <c r="F46" s="1">
        <v>3044.8000489999999</v>
      </c>
      <c r="G46" s="1">
        <v>180498</v>
      </c>
    </row>
    <row r="47" spans="1:7" x14ac:dyDescent="0.3">
      <c r="A47" s="2">
        <v>44349</v>
      </c>
      <c r="B47" s="1">
        <v>3050</v>
      </c>
      <c r="C47" s="1">
        <v>3093.3000489999999</v>
      </c>
      <c r="D47" s="1">
        <v>3050</v>
      </c>
      <c r="E47" s="1">
        <v>3066.1999510000001</v>
      </c>
      <c r="F47" s="1">
        <v>3066.1999510000001</v>
      </c>
      <c r="G47" s="1">
        <v>236968</v>
      </c>
    </row>
    <row r="48" spans="1:7" x14ac:dyDescent="0.3">
      <c r="A48" s="2">
        <v>44350</v>
      </c>
      <c r="B48" s="1">
        <v>3080</v>
      </c>
      <c r="C48" s="1">
        <v>3200</v>
      </c>
      <c r="D48" s="1">
        <v>3075.3000489999999</v>
      </c>
      <c r="E48" s="1">
        <v>3192.6999510000001</v>
      </c>
      <c r="F48" s="1">
        <v>3192.6999510000001</v>
      </c>
      <c r="G48" s="1">
        <v>820805</v>
      </c>
    </row>
    <row r="49" spans="1:7" x14ac:dyDescent="0.3">
      <c r="A49" s="2">
        <v>44351</v>
      </c>
      <c r="B49" s="1">
        <v>3222</v>
      </c>
      <c r="C49" s="1">
        <v>3257</v>
      </c>
      <c r="D49" s="1">
        <v>3170</v>
      </c>
      <c r="E49" s="1">
        <v>3197</v>
      </c>
      <c r="F49" s="1">
        <v>3197</v>
      </c>
      <c r="G49" s="1">
        <v>393038</v>
      </c>
    </row>
    <row r="50" spans="1:7" x14ac:dyDescent="0.3">
      <c r="A50" s="2">
        <v>44354</v>
      </c>
      <c r="B50" s="1">
        <v>3219.9499510000001</v>
      </c>
      <c r="C50" s="1">
        <v>3221.6000979999999</v>
      </c>
      <c r="D50" s="1">
        <v>3175.0500489999999</v>
      </c>
      <c r="E50" s="1">
        <v>3188.9499510000001</v>
      </c>
      <c r="F50" s="1">
        <v>3188.9499510000001</v>
      </c>
      <c r="G50" s="1">
        <v>196757</v>
      </c>
    </row>
    <row r="51" spans="1:7" x14ac:dyDescent="0.3">
      <c r="A51" s="2">
        <v>44355</v>
      </c>
      <c r="B51" s="1">
        <v>3200</v>
      </c>
      <c r="C51" s="1">
        <v>3210</v>
      </c>
      <c r="D51" s="1">
        <v>3165</v>
      </c>
      <c r="E51" s="1">
        <v>3179.8000489999999</v>
      </c>
      <c r="F51" s="1">
        <v>3179.8000489999999</v>
      </c>
      <c r="G51" s="1">
        <v>171578</v>
      </c>
    </row>
    <row r="52" spans="1:7" x14ac:dyDescent="0.3">
      <c r="A52" s="2">
        <v>44356</v>
      </c>
      <c r="B52" s="1">
        <v>3198</v>
      </c>
      <c r="C52" s="1">
        <v>3254.3999020000001</v>
      </c>
      <c r="D52" s="1">
        <v>3160</v>
      </c>
      <c r="E52" s="1">
        <v>3194.6999510000001</v>
      </c>
      <c r="F52" s="1">
        <v>3194.6999510000001</v>
      </c>
      <c r="G52" s="1">
        <v>397348</v>
      </c>
    </row>
    <row r="53" spans="1:7" x14ac:dyDescent="0.3">
      <c r="A53" s="2">
        <v>44357</v>
      </c>
      <c r="B53" s="1">
        <v>3206.8500979999999</v>
      </c>
      <c r="C53" s="1">
        <v>3240</v>
      </c>
      <c r="D53" s="1">
        <v>3181.0500489999999</v>
      </c>
      <c r="E53" s="1">
        <v>3194.5</v>
      </c>
      <c r="F53" s="1">
        <v>3194.5</v>
      </c>
      <c r="G53" s="1">
        <v>236409</v>
      </c>
    </row>
    <row r="54" spans="1:7" x14ac:dyDescent="0.3">
      <c r="A54" s="2">
        <v>44358</v>
      </c>
      <c r="B54" s="1">
        <v>3215</v>
      </c>
      <c r="C54" s="1">
        <v>3224.1000979999999</v>
      </c>
      <c r="D54" s="1">
        <v>3161</v>
      </c>
      <c r="E54" s="1">
        <v>3175.5500489999999</v>
      </c>
      <c r="F54" s="1">
        <v>3175.5500489999999</v>
      </c>
      <c r="G54" s="1">
        <v>158635</v>
      </c>
    </row>
    <row r="55" spans="1:7" x14ac:dyDescent="0.3">
      <c r="A55" s="2">
        <v>44361</v>
      </c>
      <c r="B55" s="1">
        <v>3180</v>
      </c>
      <c r="C55" s="1">
        <v>3294</v>
      </c>
      <c r="D55" s="1">
        <v>3108.0500489999999</v>
      </c>
      <c r="E55" s="1">
        <v>3274.1000979999999</v>
      </c>
      <c r="F55" s="1">
        <v>3274.1000979999999</v>
      </c>
      <c r="G55" s="1">
        <v>735981</v>
      </c>
    </row>
    <row r="56" spans="1:7" x14ac:dyDescent="0.3">
      <c r="A56" s="2">
        <v>44362</v>
      </c>
      <c r="B56" s="1">
        <v>3300</v>
      </c>
      <c r="C56" s="1">
        <v>3394.4499510000001</v>
      </c>
      <c r="D56" s="1">
        <v>3294</v>
      </c>
      <c r="E56" s="1">
        <v>3359.5</v>
      </c>
      <c r="F56" s="1">
        <v>3359.5</v>
      </c>
      <c r="G56" s="1">
        <v>884874</v>
      </c>
    </row>
    <row r="57" spans="1:7" x14ac:dyDescent="0.3">
      <c r="A57" s="2">
        <v>44363</v>
      </c>
      <c r="B57" s="1">
        <v>3359.5</v>
      </c>
      <c r="C57" s="1">
        <v>3396.8999020000001</v>
      </c>
      <c r="D57" s="1">
        <v>3275.6499020000001</v>
      </c>
      <c r="E57" s="1">
        <v>3310.3999020000001</v>
      </c>
      <c r="F57" s="1">
        <v>3310.3999020000001</v>
      </c>
      <c r="G57" s="1">
        <v>441188</v>
      </c>
    </row>
    <row r="58" spans="1:7" x14ac:dyDescent="0.3">
      <c r="A58" s="2">
        <v>44364</v>
      </c>
      <c r="B58" s="1">
        <v>3283.9499510000001</v>
      </c>
      <c r="C58" s="1">
        <v>3306.6000979999999</v>
      </c>
      <c r="D58" s="1">
        <v>3260</v>
      </c>
      <c r="E58" s="1">
        <v>3285.5500489999999</v>
      </c>
      <c r="F58" s="1">
        <v>3285.5500489999999</v>
      </c>
      <c r="G58" s="1">
        <v>290181</v>
      </c>
    </row>
    <row r="59" spans="1:7" x14ac:dyDescent="0.3">
      <c r="A59" s="2">
        <v>44365</v>
      </c>
      <c r="B59" s="1">
        <v>3317.5</v>
      </c>
      <c r="C59" s="1">
        <v>3372.3500979999999</v>
      </c>
      <c r="D59" s="1">
        <v>3252.1999510000001</v>
      </c>
      <c r="E59" s="1">
        <v>3317.6999510000001</v>
      </c>
      <c r="F59" s="1">
        <v>3317.6999510000001</v>
      </c>
      <c r="G59" s="1">
        <v>765935</v>
      </c>
    </row>
    <row r="60" spans="1:7" x14ac:dyDescent="0.3">
      <c r="A60" s="2">
        <v>44368</v>
      </c>
      <c r="B60" s="1">
        <v>3319.6999510000001</v>
      </c>
      <c r="C60" s="1">
        <v>3319.6999510000001</v>
      </c>
      <c r="D60" s="1">
        <v>3274</v>
      </c>
      <c r="E60" s="1">
        <v>3311</v>
      </c>
      <c r="F60" s="1">
        <v>3311</v>
      </c>
      <c r="G60" s="1">
        <v>164977</v>
      </c>
    </row>
    <row r="61" spans="1:7" x14ac:dyDescent="0.3">
      <c r="A61" s="2">
        <v>44369</v>
      </c>
      <c r="B61" s="1">
        <v>3328</v>
      </c>
      <c r="C61" s="1">
        <v>3408.4499510000001</v>
      </c>
      <c r="D61" s="1">
        <v>3320</v>
      </c>
      <c r="E61" s="1">
        <v>3373.8000489999999</v>
      </c>
      <c r="F61" s="1">
        <v>3373.8000489999999</v>
      </c>
      <c r="G61" s="1">
        <v>518266</v>
      </c>
    </row>
    <row r="62" spans="1:7" x14ac:dyDescent="0.3">
      <c r="A62" s="2">
        <v>44370</v>
      </c>
      <c r="B62" s="1">
        <v>3400</v>
      </c>
      <c r="C62" s="1">
        <v>3400</v>
      </c>
      <c r="D62" s="1">
        <v>3300.9499510000001</v>
      </c>
      <c r="E62" s="1">
        <v>3310.8999020000001</v>
      </c>
      <c r="F62" s="1">
        <v>3310.8999020000001</v>
      </c>
      <c r="G62" s="1">
        <v>244160</v>
      </c>
    </row>
    <row r="63" spans="1:7" x14ac:dyDescent="0.3">
      <c r="A63" s="2">
        <v>44371</v>
      </c>
      <c r="B63" s="1">
        <v>3345</v>
      </c>
      <c r="C63" s="1">
        <v>3352</v>
      </c>
      <c r="D63" s="1">
        <v>3304</v>
      </c>
      <c r="E63" s="1">
        <v>3323.8000489999999</v>
      </c>
      <c r="F63" s="1">
        <v>3323.8000489999999</v>
      </c>
      <c r="G63" s="1">
        <v>157652</v>
      </c>
    </row>
    <row r="64" spans="1:7" x14ac:dyDescent="0.3">
      <c r="A64" s="2">
        <v>44372</v>
      </c>
      <c r="B64" s="1">
        <v>3325</v>
      </c>
      <c r="C64" s="1">
        <v>3347.8500979999999</v>
      </c>
      <c r="D64" s="1">
        <v>3307</v>
      </c>
      <c r="E64" s="1">
        <v>3315.3500979999999</v>
      </c>
      <c r="F64" s="1">
        <v>3315.3500979999999</v>
      </c>
      <c r="G64" s="1">
        <v>107596</v>
      </c>
    </row>
    <row r="65" spans="1:7" x14ac:dyDescent="0.3">
      <c r="A65" s="2">
        <v>44375</v>
      </c>
      <c r="B65" s="1">
        <v>3315</v>
      </c>
      <c r="C65" s="1">
        <v>3350</v>
      </c>
      <c r="D65" s="1">
        <v>3277</v>
      </c>
      <c r="E65" s="1">
        <v>3332.1999510000001</v>
      </c>
      <c r="F65" s="1">
        <v>3332.1999510000001</v>
      </c>
      <c r="G65" s="1">
        <v>184379</v>
      </c>
    </row>
    <row r="66" spans="1:7" x14ac:dyDescent="0.3">
      <c r="A66" s="2">
        <v>44376</v>
      </c>
      <c r="B66" s="1">
        <v>3338</v>
      </c>
      <c r="C66" s="1">
        <v>3349.6999510000001</v>
      </c>
      <c r="D66" s="1">
        <v>3251</v>
      </c>
      <c r="E66" s="1">
        <v>3270.8500979999999</v>
      </c>
      <c r="F66" s="1">
        <v>3270.8500979999999</v>
      </c>
      <c r="G66" s="1">
        <v>310346</v>
      </c>
    </row>
    <row r="67" spans="1:7" x14ac:dyDescent="0.3">
      <c r="A67" s="2">
        <v>44377</v>
      </c>
      <c r="B67" s="1">
        <v>3278</v>
      </c>
      <c r="C67" s="1">
        <v>3358</v>
      </c>
      <c r="D67" s="1">
        <v>3278</v>
      </c>
      <c r="E67" s="1">
        <v>3344.1000979999999</v>
      </c>
      <c r="F67" s="1">
        <v>3344.1000979999999</v>
      </c>
      <c r="G67" s="1">
        <v>502700</v>
      </c>
    </row>
    <row r="68" spans="1:7" x14ac:dyDescent="0.3">
      <c r="A68" s="2">
        <v>44378</v>
      </c>
      <c r="B68" s="1">
        <v>3373.6999510000001</v>
      </c>
      <c r="C68" s="1">
        <v>3373.6999510000001</v>
      </c>
      <c r="D68" s="1">
        <v>3305</v>
      </c>
      <c r="E68" s="1">
        <v>3315.6499020000001</v>
      </c>
      <c r="F68" s="1">
        <v>3315.6499020000001</v>
      </c>
      <c r="G68" s="1">
        <v>155967</v>
      </c>
    </row>
    <row r="69" spans="1:7" x14ac:dyDescent="0.3">
      <c r="A69" s="2">
        <v>44379</v>
      </c>
      <c r="B69" s="1">
        <v>3340</v>
      </c>
      <c r="C69" s="1">
        <v>3342.75</v>
      </c>
      <c r="D69" s="1">
        <v>3305</v>
      </c>
      <c r="E69" s="1">
        <v>3314.3000489999999</v>
      </c>
      <c r="F69" s="1">
        <v>3314.3000489999999</v>
      </c>
      <c r="G69" s="1">
        <v>262656</v>
      </c>
    </row>
    <row r="70" spans="1:7" x14ac:dyDescent="0.3">
      <c r="A70" s="2">
        <v>44382</v>
      </c>
      <c r="B70" s="1">
        <v>3375</v>
      </c>
      <c r="C70" s="1">
        <v>3395</v>
      </c>
      <c r="D70" s="1">
        <v>3341.3000489999999</v>
      </c>
      <c r="E70" s="1">
        <v>3360.6499020000001</v>
      </c>
      <c r="F70" s="1">
        <v>3360.6499020000001</v>
      </c>
      <c r="G70" s="1">
        <v>379870</v>
      </c>
    </row>
    <row r="71" spans="1:7" x14ac:dyDescent="0.3">
      <c r="A71" s="2">
        <v>44383</v>
      </c>
      <c r="B71" s="1">
        <v>3366</v>
      </c>
      <c r="C71" s="1">
        <v>3425</v>
      </c>
      <c r="D71" s="1">
        <v>3332</v>
      </c>
      <c r="E71" s="1">
        <v>3364.6000979999999</v>
      </c>
      <c r="F71" s="1">
        <v>3364.6000979999999</v>
      </c>
      <c r="G71" s="1">
        <v>336459</v>
      </c>
    </row>
    <row r="72" spans="1:7" x14ac:dyDescent="0.3">
      <c r="A72" s="2">
        <v>44384</v>
      </c>
      <c r="B72" s="1">
        <v>3366</v>
      </c>
      <c r="C72" s="1">
        <v>3402</v>
      </c>
      <c r="D72" s="1">
        <v>3326</v>
      </c>
      <c r="E72" s="1">
        <v>3396.3999020000001</v>
      </c>
      <c r="F72" s="1">
        <v>3396.3999020000001</v>
      </c>
      <c r="G72" s="1">
        <v>276021</v>
      </c>
    </row>
    <row r="73" spans="1:7" x14ac:dyDescent="0.3">
      <c r="A73" s="2">
        <v>44385</v>
      </c>
      <c r="B73" s="1">
        <v>3400</v>
      </c>
      <c r="C73" s="1">
        <v>3420</v>
      </c>
      <c r="D73" s="1">
        <v>3368</v>
      </c>
      <c r="E73" s="1">
        <v>3389.1999510000001</v>
      </c>
      <c r="F73" s="1">
        <v>3389.1999510000001</v>
      </c>
      <c r="G73" s="1">
        <v>184898</v>
      </c>
    </row>
    <row r="74" spans="1:7" x14ac:dyDescent="0.3">
      <c r="A74" s="2">
        <v>44386</v>
      </c>
      <c r="B74" s="1">
        <v>3390</v>
      </c>
      <c r="C74" s="1">
        <v>3398</v>
      </c>
      <c r="D74" s="1">
        <v>3361.1000979999999</v>
      </c>
      <c r="E74" s="1">
        <v>3377.6000979999999</v>
      </c>
      <c r="F74" s="1">
        <v>3377.6000979999999</v>
      </c>
      <c r="G74" s="1">
        <v>146424</v>
      </c>
    </row>
    <row r="75" spans="1:7" x14ac:dyDescent="0.3">
      <c r="A75" s="2">
        <v>44389</v>
      </c>
      <c r="B75" s="1">
        <v>3369.6000979999999</v>
      </c>
      <c r="C75" s="1">
        <v>3378</v>
      </c>
      <c r="D75" s="1">
        <v>3310.1999510000001</v>
      </c>
      <c r="E75" s="1">
        <v>3349.0500489999999</v>
      </c>
      <c r="F75" s="1">
        <v>3349.0500489999999</v>
      </c>
      <c r="G75" s="1">
        <v>639197</v>
      </c>
    </row>
    <row r="76" spans="1:7" x14ac:dyDescent="0.3">
      <c r="A76" s="2">
        <v>44390</v>
      </c>
      <c r="B76" s="1">
        <v>3330</v>
      </c>
      <c r="C76" s="1">
        <v>3370</v>
      </c>
      <c r="D76" s="1">
        <v>3307.5500489999999</v>
      </c>
      <c r="E76" s="1">
        <v>3355</v>
      </c>
      <c r="F76" s="1">
        <v>3355</v>
      </c>
      <c r="G76" s="1">
        <v>264068</v>
      </c>
    </row>
    <row r="77" spans="1:7" x14ac:dyDescent="0.3">
      <c r="A77" s="2">
        <v>44391</v>
      </c>
      <c r="B77" s="1">
        <v>3349.9499510000001</v>
      </c>
      <c r="C77" s="1">
        <v>3350.1000979999999</v>
      </c>
      <c r="D77" s="1">
        <v>3319</v>
      </c>
      <c r="E77" s="1">
        <v>3330.0500489999999</v>
      </c>
      <c r="F77" s="1">
        <v>3330.0500489999999</v>
      </c>
      <c r="G77" s="1">
        <v>253367</v>
      </c>
    </row>
    <row r="78" spans="1:7" x14ac:dyDescent="0.3">
      <c r="A78" s="2">
        <v>44392</v>
      </c>
      <c r="B78" s="1">
        <v>3319</v>
      </c>
      <c r="C78" s="1">
        <v>3363</v>
      </c>
      <c r="D78" s="1">
        <v>3300</v>
      </c>
      <c r="E78" s="1">
        <v>3328.5</v>
      </c>
      <c r="F78" s="1">
        <v>3328.5</v>
      </c>
      <c r="G78" s="1">
        <v>188080</v>
      </c>
    </row>
    <row r="79" spans="1:7" x14ac:dyDescent="0.3">
      <c r="A79" s="2">
        <v>44393</v>
      </c>
      <c r="B79" s="1">
        <v>3332.9499510000001</v>
      </c>
      <c r="C79" s="1">
        <v>3365</v>
      </c>
      <c r="D79" s="1">
        <v>3327</v>
      </c>
      <c r="E79" s="1">
        <v>3349.1999510000001</v>
      </c>
      <c r="F79" s="1">
        <v>3349.1999510000001</v>
      </c>
      <c r="G79" s="1">
        <v>316985</v>
      </c>
    </row>
    <row r="80" spans="1:7" x14ac:dyDescent="0.3">
      <c r="A80" s="2">
        <v>44396</v>
      </c>
      <c r="B80" s="1">
        <v>3320</v>
      </c>
      <c r="C80" s="1">
        <v>3348.8999020000001</v>
      </c>
      <c r="D80" s="1">
        <v>3315.1499020000001</v>
      </c>
      <c r="E80" s="1">
        <v>3331.6000979999999</v>
      </c>
      <c r="F80" s="1">
        <v>3331.6000979999999</v>
      </c>
      <c r="G80" s="1">
        <v>143633</v>
      </c>
    </row>
    <row r="81" spans="1:7" x14ac:dyDescent="0.3">
      <c r="A81" s="2">
        <v>44397</v>
      </c>
      <c r="B81" s="1">
        <v>3347</v>
      </c>
      <c r="C81" s="1">
        <v>3419</v>
      </c>
      <c r="D81" s="1">
        <v>3334</v>
      </c>
      <c r="E81" s="1">
        <v>3397.3000489999999</v>
      </c>
      <c r="F81" s="1">
        <v>3397.3000489999999</v>
      </c>
      <c r="G81" s="1">
        <v>553490</v>
      </c>
    </row>
    <row r="82" spans="1:7" x14ac:dyDescent="0.3">
      <c r="A82" s="2">
        <v>44399</v>
      </c>
      <c r="B82" s="1">
        <v>3434</v>
      </c>
      <c r="C82" s="1">
        <v>3449</v>
      </c>
      <c r="D82" s="1">
        <v>3383</v>
      </c>
      <c r="E82" s="1">
        <v>3397.3500979999999</v>
      </c>
      <c r="F82" s="1">
        <v>3397.3500979999999</v>
      </c>
      <c r="G82" s="1">
        <v>216224</v>
      </c>
    </row>
    <row r="83" spans="1:7" x14ac:dyDescent="0.3">
      <c r="A83" s="2">
        <v>44400</v>
      </c>
      <c r="B83" s="1">
        <v>3417.8500979999999</v>
      </c>
      <c r="C83" s="1">
        <v>3425</v>
      </c>
      <c r="D83" s="1">
        <v>3393.0500489999999</v>
      </c>
      <c r="E83" s="1">
        <v>3413.1999510000001</v>
      </c>
      <c r="F83" s="1">
        <v>3413.1999510000001</v>
      </c>
      <c r="G83" s="1">
        <v>155192</v>
      </c>
    </row>
    <row r="84" spans="1:7" x14ac:dyDescent="0.3">
      <c r="A84" s="2">
        <v>44403</v>
      </c>
      <c r="B84" s="1">
        <v>3410</v>
      </c>
      <c r="C84" s="1">
        <v>3499.5</v>
      </c>
      <c r="D84" s="1">
        <v>3398.3000489999999</v>
      </c>
      <c r="E84" s="1">
        <v>3483.5500489999999</v>
      </c>
      <c r="F84" s="1">
        <v>3483.5500489999999</v>
      </c>
      <c r="G84" s="1">
        <v>319728</v>
      </c>
    </row>
    <row r="85" spans="1:7" x14ac:dyDescent="0.3">
      <c r="A85" s="2">
        <v>44404</v>
      </c>
      <c r="B85" s="1">
        <v>3499</v>
      </c>
      <c r="C85" s="1">
        <v>3533.3999020000001</v>
      </c>
      <c r="D85" s="1">
        <v>3465.25</v>
      </c>
      <c r="E85" s="1">
        <v>3499.3999020000001</v>
      </c>
      <c r="F85" s="1">
        <v>3499.3999020000001</v>
      </c>
      <c r="G85" s="1">
        <v>286345</v>
      </c>
    </row>
    <row r="86" spans="1:7" x14ac:dyDescent="0.3">
      <c r="A86" s="2">
        <v>44405</v>
      </c>
      <c r="B86" s="1">
        <v>3499</v>
      </c>
      <c r="C86" s="1">
        <v>3518.1999510000001</v>
      </c>
      <c r="D86" s="1">
        <v>3441.1000979999999</v>
      </c>
      <c r="E86" s="1">
        <v>3488.5</v>
      </c>
      <c r="F86" s="1">
        <v>3488.5</v>
      </c>
      <c r="G86" s="1">
        <v>172832</v>
      </c>
    </row>
    <row r="87" spans="1:7" x14ac:dyDescent="0.3">
      <c r="A87" s="2">
        <v>44406</v>
      </c>
      <c r="B87" s="1">
        <v>3500</v>
      </c>
      <c r="C87" s="1">
        <v>3524</v>
      </c>
      <c r="D87" s="1">
        <v>3492.25</v>
      </c>
      <c r="E87" s="1">
        <v>3502.6000979999999</v>
      </c>
      <c r="F87" s="1">
        <v>3502.6000979999999</v>
      </c>
      <c r="G87" s="1">
        <v>131747</v>
      </c>
    </row>
    <row r="88" spans="1:7" x14ac:dyDescent="0.3">
      <c r="A88" s="2">
        <v>44407</v>
      </c>
      <c r="B88" s="1">
        <v>3524</v>
      </c>
      <c r="C88" s="1">
        <v>3524</v>
      </c>
      <c r="D88" s="1">
        <v>3475.25</v>
      </c>
      <c r="E88" s="1">
        <v>3500.8000489999999</v>
      </c>
      <c r="F88" s="1">
        <v>3500.8000489999999</v>
      </c>
      <c r="G88" s="1">
        <v>270545</v>
      </c>
    </row>
    <row r="89" spans="1:7" x14ac:dyDescent="0.3">
      <c r="A89" s="2">
        <v>44410</v>
      </c>
      <c r="B89" s="1">
        <v>3524.8000489999999</v>
      </c>
      <c r="C89" s="1">
        <v>3524.8000489999999</v>
      </c>
      <c r="D89" s="1">
        <v>3486</v>
      </c>
      <c r="E89" s="1">
        <v>3502.3999020000001</v>
      </c>
      <c r="F89" s="1">
        <v>3502.3999020000001</v>
      </c>
      <c r="G89" s="1">
        <v>147600</v>
      </c>
    </row>
    <row r="90" spans="1:7" x14ac:dyDescent="0.3">
      <c r="A90" s="2">
        <v>44411</v>
      </c>
      <c r="B90" s="1">
        <v>3508</v>
      </c>
      <c r="C90" s="1">
        <v>3579</v>
      </c>
      <c r="D90" s="1">
        <v>3504</v>
      </c>
      <c r="E90" s="1">
        <v>3566.25</v>
      </c>
      <c r="F90" s="1">
        <v>3566.25</v>
      </c>
      <c r="G90" s="1">
        <v>224336</v>
      </c>
    </row>
    <row r="91" spans="1:7" x14ac:dyDescent="0.3">
      <c r="A91" s="2">
        <v>44412</v>
      </c>
      <c r="B91" s="1">
        <v>3575</v>
      </c>
      <c r="C91" s="1">
        <v>3609</v>
      </c>
      <c r="D91" s="1">
        <v>3535.8500979999999</v>
      </c>
      <c r="E91" s="1">
        <v>3593.0500489999999</v>
      </c>
      <c r="F91" s="1">
        <v>3593.0500489999999</v>
      </c>
      <c r="G91" s="1">
        <v>197380</v>
      </c>
    </row>
    <row r="92" spans="1:7" x14ac:dyDescent="0.3">
      <c r="A92" s="2">
        <v>44413</v>
      </c>
      <c r="B92" s="1">
        <v>3600</v>
      </c>
      <c r="C92" s="1">
        <v>3624.4499510000001</v>
      </c>
      <c r="D92" s="1">
        <v>3551</v>
      </c>
      <c r="E92" s="1">
        <v>3564.1499020000001</v>
      </c>
      <c r="F92" s="1">
        <v>3564.1499020000001</v>
      </c>
      <c r="G92" s="1">
        <v>117492</v>
      </c>
    </row>
    <row r="93" spans="1:7" x14ac:dyDescent="0.3">
      <c r="A93" s="2">
        <v>44414</v>
      </c>
      <c r="B93" s="1">
        <v>3569</v>
      </c>
      <c r="C93" s="1">
        <v>3593</v>
      </c>
      <c r="D93" s="1">
        <v>3520</v>
      </c>
      <c r="E93" s="1">
        <v>3529.1999510000001</v>
      </c>
      <c r="F93" s="1">
        <v>3529.1999510000001</v>
      </c>
      <c r="G93" s="1">
        <v>128769</v>
      </c>
    </row>
    <row r="94" spans="1:7" x14ac:dyDescent="0.3">
      <c r="A94" s="2">
        <v>44417</v>
      </c>
      <c r="B94" s="1">
        <v>3549</v>
      </c>
      <c r="C94" s="1">
        <v>3577.6499020000001</v>
      </c>
      <c r="D94" s="1">
        <v>3501</v>
      </c>
      <c r="E94" s="1">
        <v>3523</v>
      </c>
      <c r="F94" s="1">
        <v>3523</v>
      </c>
      <c r="G94" s="1">
        <v>254763</v>
      </c>
    </row>
    <row r="95" spans="1:7" x14ac:dyDescent="0.3">
      <c r="A95" s="2">
        <v>44418</v>
      </c>
      <c r="B95" s="1">
        <v>3541</v>
      </c>
      <c r="C95" s="1">
        <v>3586.5500489999999</v>
      </c>
      <c r="D95" s="1">
        <v>3515</v>
      </c>
      <c r="E95" s="1">
        <v>3551.6499020000001</v>
      </c>
      <c r="F95" s="1">
        <v>3551.6499020000001</v>
      </c>
      <c r="G95" s="1">
        <v>162584</v>
      </c>
    </row>
    <row r="96" spans="1:7" x14ac:dyDescent="0.3">
      <c r="A96" s="2">
        <v>44419</v>
      </c>
      <c r="B96" s="1">
        <v>3551.6499020000001</v>
      </c>
      <c r="C96" s="1">
        <v>3575</v>
      </c>
      <c r="D96" s="1">
        <v>3465</v>
      </c>
      <c r="E96" s="1">
        <v>3563.9499510000001</v>
      </c>
      <c r="F96" s="1">
        <v>3563.9499510000001</v>
      </c>
      <c r="G96" s="1">
        <v>167988</v>
      </c>
    </row>
    <row r="97" spans="1:7" x14ac:dyDescent="0.3">
      <c r="A97" s="2">
        <v>44420</v>
      </c>
      <c r="B97" s="1">
        <v>3573.8000489999999</v>
      </c>
      <c r="C97" s="1">
        <v>3589</v>
      </c>
      <c r="D97" s="1">
        <v>3546.6000979999999</v>
      </c>
      <c r="E97" s="1">
        <v>3561</v>
      </c>
      <c r="F97" s="1">
        <v>3561</v>
      </c>
      <c r="G97" s="1">
        <v>114737</v>
      </c>
    </row>
    <row r="98" spans="1:7" x14ac:dyDescent="0.3">
      <c r="A98" s="2">
        <v>44421</v>
      </c>
      <c r="B98" s="1">
        <v>3584</v>
      </c>
      <c r="C98" s="1">
        <v>3634.4499510000001</v>
      </c>
      <c r="D98" s="1">
        <v>3518</v>
      </c>
      <c r="E98" s="1">
        <v>3594.5500489999999</v>
      </c>
      <c r="F98" s="1">
        <v>3594.5500489999999</v>
      </c>
      <c r="G98" s="1">
        <v>292706</v>
      </c>
    </row>
    <row r="99" spans="1:7" x14ac:dyDescent="0.3">
      <c r="A99" s="2">
        <v>44424</v>
      </c>
      <c r="B99" s="1">
        <v>3594</v>
      </c>
      <c r="C99" s="1">
        <v>3659</v>
      </c>
      <c r="D99" s="1">
        <v>3566.3000489999999</v>
      </c>
      <c r="E99" s="1">
        <v>3633.5</v>
      </c>
      <c r="F99" s="1">
        <v>3633.5</v>
      </c>
      <c r="G99" s="1">
        <v>180469</v>
      </c>
    </row>
    <row r="100" spans="1:7" x14ac:dyDescent="0.3">
      <c r="A100" s="2">
        <v>44425</v>
      </c>
      <c r="B100" s="1">
        <v>3655</v>
      </c>
      <c r="C100" s="1">
        <v>3655</v>
      </c>
      <c r="D100" s="1">
        <v>3604</v>
      </c>
      <c r="E100" s="1">
        <v>3634.3500979999999</v>
      </c>
      <c r="F100" s="1">
        <v>3634.3500979999999</v>
      </c>
      <c r="G100" s="1">
        <v>201361</v>
      </c>
    </row>
    <row r="101" spans="1:7" x14ac:dyDescent="0.3">
      <c r="A101" s="2">
        <v>44426</v>
      </c>
      <c r="B101" s="1">
        <v>3640</v>
      </c>
      <c r="C101" s="1">
        <v>3668.25</v>
      </c>
      <c r="D101" s="1">
        <v>3626.1499020000001</v>
      </c>
      <c r="E101" s="1">
        <v>3650.6000979999999</v>
      </c>
      <c r="F101" s="1">
        <v>3650.6000979999999</v>
      </c>
      <c r="G101" s="1">
        <v>147888</v>
      </c>
    </row>
    <row r="102" spans="1:7" x14ac:dyDescent="0.3">
      <c r="A102" s="2">
        <v>44428</v>
      </c>
      <c r="B102" s="1">
        <v>3650</v>
      </c>
      <c r="C102" s="1">
        <v>3707.1499020000001</v>
      </c>
      <c r="D102" s="1">
        <v>3618</v>
      </c>
      <c r="E102" s="1">
        <v>3643.1000979999999</v>
      </c>
      <c r="F102" s="1">
        <v>3643.1000979999999</v>
      </c>
      <c r="G102" s="1">
        <v>232756</v>
      </c>
    </row>
    <row r="103" spans="1:7" x14ac:dyDescent="0.3">
      <c r="A103" s="2">
        <v>44431</v>
      </c>
      <c r="B103" s="1">
        <v>3663</v>
      </c>
      <c r="C103" s="1">
        <v>3700</v>
      </c>
      <c r="D103" s="1">
        <v>3644</v>
      </c>
      <c r="E103" s="1">
        <v>3673.75</v>
      </c>
      <c r="F103" s="1">
        <v>3673.75</v>
      </c>
      <c r="G103" s="1">
        <v>163347</v>
      </c>
    </row>
    <row r="104" spans="1:7" x14ac:dyDescent="0.3">
      <c r="A104" s="2">
        <v>44432</v>
      </c>
      <c r="B104" s="1">
        <v>3700</v>
      </c>
      <c r="C104" s="1">
        <v>3770</v>
      </c>
      <c r="D104" s="1">
        <v>3680</v>
      </c>
      <c r="E104" s="1">
        <v>3708.5500489999999</v>
      </c>
      <c r="F104" s="1">
        <v>3708.5500489999999</v>
      </c>
      <c r="G104" s="1">
        <v>343937</v>
      </c>
    </row>
    <row r="105" spans="1:7" x14ac:dyDescent="0.3">
      <c r="A105" s="2">
        <v>44433</v>
      </c>
      <c r="B105" s="1">
        <v>3749.9499510000001</v>
      </c>
      <c r="C105" s="1">
        <v>3847.4499510000001</v>
      </c>
      <c r="D105" s="1">
        <v>3716.1499020000001</v>
      </c>
      <c r="E105" s="1">
        <v>3789.6999510000001</v>
      </c>
      <c r="F105" s="1">
        <v>3789.6999510000001</v>
      </c>
      <c r="G105" s="1">
        <v>332203</v>
      </c>
    </row>
    <row r="106" spans="1:7" x14ac:dyDescent="0.3">
      <c r="A106" s="2">
        <v>44434</v>
      </c>
      <c r="B106" s="1">
        <v>3814</v>
      </c>
      <c r="C106" s="1">
        <v>3889.8000489999999</v>
      </c>
      <c r="D106" s="1">
        <v>3800.0500489999999</v>
      </c>
      <c r="E106" s="1">
        <v>3847.8000489999999</v>
      </c>
      <c r="F106" s="1">
        <v>3847.8000489999999</v>
      </c>
      <c r="G106" s="1">
        <v>532719</v>
      </c>
    </row>
    <row r="107" spans="1:7" x14ac:dyDescent="0.3">
      <c r="A107" s="2">
        <v>44435</v>
      </c>
      <c r="B107" s="1">
        <v>3887</v>
      </c>
      <c r="C107" s="1">
        <v>3898</v>
      </c>
      <c r="D107" s="1">
        <v>3815</v>
      </c>
      <c r="E107" s="1">
        <v>3833.0500489999999</v>
      </c>
      <c r="F107" s="1">
        <v>3833.0500489999999</v>
      </c>
      <c r="G107" s="1">
        <v>349704</v>
      </c>
    </row>
    <row r="108" spans="1:7" x14ac:dyDescent="0.3">
      <c r="A108" s="2">
        <v>44438</v>
      </c>
      <c r="B108" s="1">
        <v>3862</v>
      </c>
      <c r="C108" s="1">
        <v>3899</v>
      </c>
      <c r="D108" s="1">
        <v>3835.3000489999999</v>
      </c>
      <c r="E108" s="1">
        <v>3888.3500979999999</v>
      </c>
      <c r="F108" s="1">
        <v>3888.3500979999999</v>
      </c>
      <c r="G108" s="1">
        <v>267923</v>
      </c>
    </row>
    <row r="109" spans="1:7" x14ac:dyDescent="0.3">
      <c r="A109" s="2">
        <v>44439</v>
      </c>
      <c r="B109" s="1">
        <v>3899</v>
      </c>
      <c r="C109" s="1">
        <v>3979.75</v>
      </c>
      <c r="D109" s="1">
        <v>3871.1499020000001</v>
      </c>
      <c r="E109" s="1">
        <v>3954.8000489999999</v>
      </c>
      <c r="F109" s="1">
        <v>3954.8000489999999</v>
      </c>
      <c r="G109" s="1">
        <v>378858</v>
      </c>
    </row>
    <row r="110" spans="1:7" x14ac:dyDescent="0.3">
      <c r="A110" s="2">
        <v>44440</v>
      </c>
      <c r="B110" s="1">
        <v>3978</v>
      </c>
      <c r="C110" s="1">
        <v>4015</v>
      </c>
      <c r="D110" s="1">
        <v>3960.0500489999999</v>
      </c>
      <c r="E110" s="1">
        <v>3968.6000979999999</v>
      </c>
      <c r="F110" s="1">
        <v>3968.6000979999999</v>
      </c>
      <c r="G110" s="1">
        <v>249485</v>
      </c>
    </row>
    <row r="111" spans="1:7" x14ac:dyDescent="0.3">
      <c r="A111" s="2">
        <v>44441</v>
      </c>
      <c r="B111" s="1">
        <v>3979</v>
      </c>
      <c r="C111" s="1">
        <v>3984.4499510000001</v>
      </c>
      <c r="D111" s="1">
        <v>3911</v>
      </c>
      <c r="E111" s="1">
        <v>3917.6499020000001</v>
      </c>
      <c r="F111" s="1">
        <v>3917.6499020000001</v>
      </c>
      <c r="G111" s="1">
        <v>206216</v>
      </c>
    </row>
    <row r="112" spans="1:7" x14ac:dyDescent="0.3">
      <c r="A112" s="2">
        <v>44442</v>
      </c>
      <c r="B112" s="1">
        <v>3940</v>
      </c>
      <c r="C112" s="1">
        <v>3961.6999510000001</v>
      </c>
      <c r="D112" s="1">
        <v>3925.0500489999999</v>
      </c>
      <c r="E112" s="1">
        <v>3938.8999020000001</v>
      </c>
      <c r="F112" s="1">
        <v>3938.8999020000001</v>
      </c>
      <c r="G112" s="1">
        <v>262989</v>
      </c>
    </row>
    <row r="113" spans="1:7" x14ac:dyDescent="0.3">
      <c r="A113" s="2">
        <v>44445</v>
      </c>
      <c r="B113" s="1">
        <v>3959.8999020000001</v>
      </c>
      <c r="C113" s="1">
        <v>3960</v>
      </c>
      <c r="D113" s="1">
        <v>3902.1999510000001</v>
      </c>
      <c r="E113" s="1">
        <v>3921.3000489999999</v>
      </c>
      <c r="F113" s="1">
        <v>3921.3000489999999</v>
      </c>
      <c r="G113" s="1">
        <v>227165</v>
      </c>
    </row>
    <row r="114" spans="1:7" x14ac:dyDescent="0.3">
      <c r="A114" s="2">
        <v>44446</v>
      </c>
      <c r="B114" s="1">
        <v>3938</v>
      </c>
      <c r="C114" s="1">
        <v>3963.6999510000001</v>
      </c>
      <c r="D114" s="1">
        <v>3875.1000979999999</v>
      </c>
      <c r="E114" s="1">
        <v>3937.5500489999999</v>
      </c>
      <c r="F114" s="1">
        <v>3937.5500489999999</v>
      </c>
      <c r="G114" s="1">
        <v>357260</v>
      </c>
    </row>
    <row r="115" spans="1:7" x14ac:dyDescent="0.3">
      <c r="A115" s="2">
        <v>44447</v>
      </c>
      <c r="B115" s="1">
        <v>3945</v>
      </c>
      <c r="C115" s="1">
        <v>3977</v>
      </c>
      <c r="D115" s="1">
        <v>3921.1000979999999</v>
      </c>
      <c r="E115" s="1">
        <v>3932.9499510000001</v>
      </c>
      <c r="F115" s="1">
        <v>3932.9499510000001</v>
      </c>
      <c r="G115" s="1">
        <v>462531</v>
      </c>
    </row>
    <row r="116" spans="1:7" x14ac:dyDescent="0.3">
      <c r="A116" s="2">
        <v>44448</v>
      </c>
      <c r="B116" s="1">
        <v>3934</v>
      </c>
      <c r="C116" s="1">
        <v>3964</v>
      </c>
      <c r="D116" s="1">
        <v>3908</v>
      </c>
      <c r="E116" s="1">
        <v>3950.5</v>
      </c>
      <c r="F116" s="1">
        <v>3950.5</v>
      </c>
      <c r="G116" s="1">
        <v>154864</v>
      </c>
    </row>
    <row r="117" spans="1:7" x14ac:dyDescent="0.3">
      <c r="A117" s="2">
        <v>44452</v>
      </c>
      <c r="B117" s="1">
        <v>3951</v>
      </c>
      <c r="C117" s="1">
        <v>3986.1499020000001</v>
      </c>
      <c r="D117" s="1">
        <v>3948.1000979999999</v>
      </c>
      <c r="E117" s="1">
        <v>3961.8500979999999</v>
      </c>
      <c r="F117" s="1">
        <v>3961.8500979999999</v>
      </c>
      <c r="G117" s="1">
        <v>145925</v>
      </c>
    </row>
    <row r="118" spans="1:7" x14ac:dyDescent="0.3">
      <c r="A118" s="2">
        <v>44453</v>
      </c>
      <c r="B118" s="1">
        <v>3970</v>
      </c>
      <c r="C118" s="1">
        <v>4000</v>
      </c>
      <c r="D118" s="1">
        <v>3964.8999020000001</v>
      </c>
      <c r="E118" s="1">
        <v>3979.6999510000001</v>
      </c>
      <c r="F118" s="1">
        <v>3979.6999510000001</v>
      </c>
      <c r="G118" s="1">
        <v>203689</v>
      </c>
    </row>
    <row r="119" spans="1:7" x14ac:dyDescent="0.3">
      <c r="A119" s="2">
        <v>44454</v>
      </c>
      <c r="B119" s="1">
        <v>3979.8999020000001</v>
      </c>
      <c r="C119" s="1">
        <v>3992.1999510000001</v>
      </c>
      <c r="D119" s="1">
        <v>3961</v>
      </c>
      <c r="E119" s="1">
        <v>3982.6000979999999</v>
      </c>
      <c r="F119" s="1">
        <v>3982.6000979999999</v>
      </c>
      <c r="G119" s="1">
        <v>339798</v>
      </c>
    </row>
    <row r="120" spans="1:7" x14ac:dyDescent="0.3">
      <c r="A120" s="2">
        <v>44455</v>
      </c>
      <c r="B120" s="1">
        <v>3982.6000979999999</v>
      </c>
      <c r="C120" s="1">
        <v>4100</v>
      </c>
      <c r="D120" s="1">
        <v>3981.0500489999999</v>
      </c>
      <c r="E120" s="1">
        <v>4084.5</v>
      </c>
      <c r="F120" s="1">
        <v>4084.5</v>
      </c>
      <c r="G120" s="1">
        <v>486429</v>
      </c>
    </row>
    <row r="121" spans="1:7" x14ac:dyDescent="0.3">
      <c r="A121" s="2">
        <v>44456</v>
      </c>
      <c r="B121" s="1">
        <v>4124</v>
      </c>
      <c r="C121" s="1">
        <v>4294.6499020000001</v>
      </c>
      <c r="D121" s="1">
        <v>4120</v>
      </c>
      <c r="E121" s="1">
        <v>4239.6499020000001</v>
      </c>
      <c r="F121" s="1">
        <v>4239.6499020000001</v>
      </c>
      <c r="G121" s="1">
        <v>767511</v>
      </c>
    </row>
    <row r="122" spans="1:7" x14ac:dyDescent="0.3">
      <c r="A122" s="2">
        <v>44459</v>
      </c>
      <c r="B122" s="1">
        <v>4208</v>
      </c>
      <c r="C122" s="1">
        <v>4430</v>
      </c>
      <c r="D122" s="1">
        <v>4151</v>
      </c>
      <c r="E122" s="1">
        <v>4355.8999020000001</v>
      </c>
      <c r="F122" s="1">
        <v>4355.8999020000001</v>
      </c>
      <c r="G122" s="1">
        <v>438432</v>
      </c>
    </row>
    <row r="123" spans="1:7" x14ac:dyDescent="0.3">
      <c r="A123" s="2">
        <v>44460</v>
      </c>
      <c r="B123" s="1">
        <v>4415.1000979999999</v>
      </c>
      <c r="C123" s="1">
        <v>4450</v>
      </c>
      <c r="D123" s="1">
        <v>4305.0498049999997</v>
      </c>
      <c r="E123" s="1">
        <v>4361.9501950000003</v>
      </c>
      <c r="F123" s="1">
        <v>4361.9501950000003</v>
      </c>
      <c r="G123" s="1">
        <v>437837</v>
      </c>
    </row>
    <row r="124" spans="1:7" x14ac:dyDescent="0.3">
      <c r="A124" s="2">
        <v>44461</v>
      </c>
      <c r="B124" s="1">
        <v>4373</v>
      </c>
      <c r="C124" s="1">
        <v>4420</v>
      </c>
      <c r="D124" s="1">
        <v>4331.2001950000003</v>
      </c>
      <c r="E124" s="1">
        <v>4378.6499020000001</v>
      </c>
      <c r="F124" s="1">
        <v>4378.6499020000001</v>
      </c>
      <c r="G124" s="1">
        <v>243996</v>
      </c>
    </row>
    <row r="125" spans="1:7" x14ac:dyDescent="0.3">
      <c r="A125" s="2">
        <v>44462</v>
      </c>
      <c r="B125" s="1">
        <v>4408.9501950000003</v>
      </c>
      <c r="C125" s="1">
        <v>4500</v>
      </c>
      <c r="D125" s="1">
        <v>4372.3500979999999</v>
      </c>
      <c r="E125" s="1">
        <v>4409.8999020000001</v>
      </c>
      <c r="F125" s="1">
        <v>4409.8999020000001</v>
      </c>
      <c r="G125" s="1">
        <v>325049</v>
      </c>
    </row>
    <row r="126" spans="1:7" x14ac:dyDescent="0.3">
      <c r="A126" s="2">
        <v>44463</v>
      </c>
      <c r="B126" s="1">
        <v>4440</v>
      </c>
      <c r="C126" s="1">
        <v>4461</v>
      </c>
      <c r="D126" s="1">
        <v>4405</v>
      </c>
      <c r="E126" s="1">
        <v>4422.3500979999999</v>
      </c>
      <c r="F126" s="1">
        <v>4422.3500979999999</v>
      </c>
      <c r="G126" s="1">
        <v>198742</v>
      </c>
    </row>
    <row r="127" spans="1:7" x14ac:dyDescent="0.3">
      <c r="A127" s="2">
        <v>44466</v>
      </c>
      <c r="B127" s="1">
        <v>4435</v>
      </c>
      <c r="C127" s="1">
        <v>4448.9501950000003</v>
      </c>
      <c r="D127" s="1">
        <v>4292.5</v>
      </c>
      <c r="E127" s="1">
        <v>4385.75</v>
      </c>
      <c r="F127" s="1">
        <v>4385.75</v>
      </c>
      <c r="G127" s="1">
        <v>555192</v>
      </c>
    </row>
    <row r="128" spans="1:7" x14ac:dyDescent="0.3">
      <c r="A128" s="2">
        <v>44467</v>
      </c>
      <c r="B128" s="1">
        <v>4397</v>
      </c>
      <c r="C128" s="1">
        <v>4421.8999020000001</v>
      </c>
      <c r="D128" s="1">
        <v>4294.9501950000003</v>
      </c>
      <c r="E128" s="1">
        <v>4315.75</v>
      </c>
      <c r="F128" s="1">
        <v>4315.75</v>
      </c>
      <c r="G128" s="1">
        <v>305671</v>
      </c>
    </row>
    <row r="129" spans="1:7" x14ac:dyDescent="0.3">
      <c r="A129" s="2">
        <v>44468</v>
      </c>
      <c r="B129" s="1">
        <v>4316</v>
      </c>
      <c r="C129" s="1">
        <v>4395.9501950000003</v>
      </c>
      <c r="D129" s="1">
        <v>4202</v>
      </c>
      <c r="E129" s="1">
        <v>4251.2001950000003</v>
      </c>
      <c r="F129" s="1">
        <v>4251.2001950000003</v>
      </c>
      <c r="G129" s="1">
        <v>377254</v>
      </c>
    </row>
    <row r="130" spans="1:7" x14ac:dyDescent="0.3">
      <c r="A130" s="2">
        <v>44469</v>
      </c>
      <c r="B130" s="1">
        <v>4259.75</v>
      </c>
      <c r="C130" s="1">
        <v>4310</v>
      </c>
      <c r="D130" s="1">
        <v>4205.25</v>
      </c>
      <c r="E130" s="1">
        <v>4250.2001950000003</v>
      </c>
      <c r="F130" s="1">
        <v>4250.2001950000003</v>
      </c>
      <c r="G130" s="1">
        <v>339960</v>
      </c>
    </row>
    <row r="131" spans="1:7" x14ac:dyDescent="0.3">
      <c r="A131" s="2">
        <v>44470</v>
      </c>
      <c r="B131" s="1">
        <v>4250</v>
      </c>
      <c r="C131" s="1">
        <v>4284.2001950000003</v>
      </c>
      <c r="D131" s="1">
        <v>4220.1000979999999</v>
      </c>
      <c r="E131" s="1">
        <v>4235.6000979999999</v>
      </c>
      <c r="F131" s="1">
        <v>4235.6000979999999</v>
      </c>
      <c r="G131" s="1">
        <v>203932</v>
      </c>
    </row>
    <row r="132" spans="1:7" x14ac:dyDescent="0.3">
      <c r="A132" s="2">
        <v>44473</v>
      </c>
      <c r="B132" s="1">
        <v>4393.9501950000003</v>
      </c>
      <c r="C132" s="1">
        <v>4464.3500979999999</v>
      </c>
      <c r="D132" s="1">
        <v>4232.2001950000003</v>
      </c>
      <c r="E132" s="1">
        <v>4257.3500979999999</v>
      </c>
      <c r="F132" s="1">
        <v>4257.3500979999999</v>
      </c>
      <c r="G132" s="1">
        <v>906261</v>
      </c>
    </row>
    <row r="133" spans="1:7" x14ac:dyDescent="0.3">
      <c r="A133" s="2">
        <v>44474</v>
      </c>
      <c r="B133" s="1">
        <v>4284</v>
      </c>
      <c r="C133" s="1">
        <v>4284</v>
      </c>
      <c r="D133" s="1">
        <v>4246.8500979999999</v>
      </c>
      <c r="E133" s="1">
        <v>4257.2998049999997</v>
      </c>
      <c r="F133" s="1">
        <v>4257.2998049999997</v>
      </c>
      <c r="G133" s="1">
        <v>242566</v>
      </c>
    </row>
    <row r="134" spans="1:7" x14ac:dyDescent="0.3">
      <c r="A134" s="2">
        <v>44475</v>
      </c>
      <c r="B134" s="1">
        <v>4292.1499020000001</v>
      </c>
      <c r="C134" s="1">
        <v>4295</v>
      </c>
      <c r="D134" s="1">
        <v>4205</v>
      </c>
      <c r="E134" s="1">
        <v>4218.5498049999997</v>
      </c>
      <c r="F134" s="1">
        <v>4218.5498049999997</v>
      </c>
      <c r="G134" s="1">
        <v>301394</v>
      </c>
    </row>
    <row r="135" spans="1:7" x14ac:dyDescent="0.3">
      <c r="A135" s="2">
        <v>44476</v>
      </c>
      <c r="B135" s="1">
        <v>4254.9501950000003</v>
      </c>
      <c r="C135" s="1">
        <v>4337</v>
      </c>
      <c r="D135" s="1">
        <v>4251</v>
      </c>
      <c r="E135" s="1">
        <v>4311.7001950000003</v>
      </c>
      <c r="F135" s="1">
        <v>4311.7001950000003</v>
      </c>
      <c r="G135" s="1">
        <v>570321</v>
      </c>
    </row>
    <row r="136" spans="1:7" x14ac:dyDescent="0.3">
      <c r="A136" s="2">
        <v>44477</v>
      </c>
      <c r="B136" s="1">
        <v>4326.3999020000001</v>
      </c>
      <c r="C136" s="1">
        <v>4421.9501950000003</v>
      </c>
      <c r="D136" s="1">
        <v>4299.0498049999997</v>
      </c>
      <c r="E136" s="1">
        <v>4407.9501950000003</v>
      </c>
      <c r="F136" s="1">
        <v>4407.9501950000003</v>
      </c>
      <c r="G136" s="1">
        <v>314758</v>
      </c>
    </row>
    <row r="137" spans="1:7" x14ac:dyDescent="0.3">
      <c r="A137" s="2">
        <v>44480</v>
      </c>
      <c r="B137" s="1">
        <v>4438</v>
      </c>
      <c r="C137" s="1">
        <v>4840</v>
      </c>
      <c r="D137" s="1">
        <v>4407</v>
      </c>
      <c r="E137" s="1">
        <v>4719.4501950000003</v>
      </c>
      <c r="F137" s="1">
        <v>4719.4501950000003</v>
      </c>
      <c r="G137" s="1">
        <v>1017160</v>
      </c>
    </row>
    <row r="138" spans="1:7" x14ac:dyDescent="0.3">
      <c r="A138" s="2">
        <v>44481</v>
      </c>
      <c r="B138" s="1">
        <v>4780</v>
      </c>
      <c r="C138" s="1">
        <v>4895</v>
      </c>
      <c r="D138" s="1">
        <v>4718.8500979999999</v>
      </c>
      <c r="E138" s="1">
        <v>4739</v>
      </c>
      <c r="F138" s="1">
        <v>4739</v>
      </c>
      <c r="G138" s="1">
        <v>817027</v>
      </c>
    </row>
    <row r="139" spans="1:7" x14ac:dyDescent="0.3">
      <c r="A139" s="2">
        <v>44482</v>
      </c>
      <c r="B139" s="1">
        <v>4777</v>
      </c>
      <c r="C139" s="1">
        <v>5595</v>
      </c>
      <c r="D139" s="1">
        <v>4760.25</v>
      </c>
      <c r="E139" s="1">
        <v>5117.1499020000001</v>
      </c>
      <c r="F139" s="1">
        <v>5117.1499020000001</v>
      </c>
      <c r="G139" s="1">
        <v>2593684</v>
      </c>
    </row>
    <row r="140" spans="1:7" x14ac:dyDescent="0.3">
      <c r="A140" s="2">
        <v>44483</v>
      </c>
      <c r="B140" s="1">
        <v>5194</v>
      </c>
      <c r="C140" s="1">
        <v>5420</v>
      </c>
      <c r="D140" s="1">
        <v>5180.0498049999997</v>
      </c>
      <c r="E140" s="1">
        <v>5323.75</v>
      </c>
      <c r="F140" s="1">
        <v>5323.75</v>
      </c>
      <c r="G140" s="1">
        <v>1187904</v>
      </c>
    </row>
    <row r="141" spans="1:7" x14ac:dyDescent="0.3">
      <c r="A141" s="2">
        <v>44487</v>
      </c>
      <c r="B141" s="1">
        <v>5599</v>
      </c>
      <c r="C141" s="1">
        <v>5900</v>
      </c>
      <c r="D141" s="1">
        <v>4851.1000979999999</v>
      </c>
      <c r="E141" s="1">
        <v>4897.7998049999997</v>
      </c>
      <c r="F141" s="1">
        <v>4897.7998049999997</v>
      </c>
      <c r="G141" s="1">
        <v>4748382</v>
      </c>
    </row>
    <row r="142" spans="1:7" x14ac:dyDescent="0.3">
      <c r="A142" s="2">
        <v>44488</v>
      </c>
      <c r="B142" s="1">
        <v>5000</v>
      </c>
      <c r="C142" s="1">
        <v>5100</v>
      </c>
      <c r="D142" s="1">
        <v>4725</v>
      </c>
      <c r="E142" s="1">
        <v>4754.5498049999997</v>
      </c>
      <c r="F142" s="1">
        <v>4754.5498049999997</v>
      </c>
      <c r="G142" s="1">
        <v>1804742</v>
      </c>
    </row>
    <row r="143" spans="1:7" x14ac:dyDescent="0.3">
      <c r="A143" s="2">
        <v>44489</v>
      </c>
      <c r="B143" s="1">
        <v>4789</v>
      </c>
      <c r="C143" s="1">
        <v>4860</v>
      </c>
      <c r="D143" s="1">
        <v>4470.25</v>
      </c>
      <c r="E143" s="1">
        <v>4596.3999020000001</v>
      </c>
      <c r="F143" s="1">
        <v>4596.3999020000001</v>
      </c>
      <c r="G143" s="1">
        <v>1677557</v>
      </c>
    </row>
    <row r="144" spans="1:7" x14ac:dyDescent="0.3">
      <c r="A144" s="2">
        <v>44490</v>
      </c>
      <c r="B144" s="1">
        <v>4650</v>
      </c>
      <c r="C144" s="1">
        <v>4699.5</v>
      </c>
      <c r="D144" s="1">
        <v>4500</v>
      </c>
      <c r="E144" s="1">
        <v>4521.25</v>
      </c>
      <c r="F144" s="1">
        <v>4521.25</v>
      </c>
      <c r="G144" s="1">
        <v>1028678</v>
      </c>
    </row>
    <row r="145" spans="1:7" x14ac:dyDescent="0.3">
      <c r="A145" s="2">
        <v>44491</v>
      </c>
      <c r="B145" s="1">
        <v>4559</v>
      </c>
      <c r="C145" s="1">
        <v>4560</v>
      </c>
      <c r="D145" s="1">
        <v>4482</v>
      </c>
      <c r="E145" s="1">
        <v>4521.4501950000003</v>
      </c>
      <c r="F145" s="1">
        <v>4521.4501950000003</v>
      </c>
      <c r="G145" s="1">
        <v>739603</v>
      </c>
    </row>
    <row r="146" spans="1:7" x14ac:dyDescent="0.3">
      <c r="A146" s="2">
        <v>44494</v>
      </c>
      <c r="B146" s="1">
        <v>4534.2998049999997</v>
      </c>
      <c r="C146" s="1">
        <v>4550</v>
      </c>
      <c r="D146" s="1">
        <v>4351</v>
      </c>
      <c r="E146" s="1">
        <v>4400.6000979999999</v>
      </c>
      <c r="F146" s="1">
        <v>4400.6000979999999</v>
      </c>
      <c r="G146" s="1">
        <v>591416</v>
      </c>
    </row>
    <row r="147" spans="1:7" x14ac:dyDescent="0.3">
      <c r="A147" s="2">
        <v>44495</v>
      </c>
      <c r="B147" s="1">
        <v>4419</v>
      </c>
      <c r="C147" s="1">
        <v>4599</v>
      </c>
      <c r="D147" s="1">
        <v>4365</v>
      </c>
      <c r="E147" s="1">
        <v>4568.5</v>
      </c>
      <c r="F147" s="1">
        <v>4568.5</v>
      </c>
      <c r="G147" s="1">
        <v>637834</v>
      </c>
    </row>
    <row r="148" spans="1:7" x14ac:dyDescent="0.3">
      <c r="A148" s="2">
        <v>44496</v>
      </c>
      <c r="B148" s="1">
        <v>4600</v>
      </c>
      <c r="C148" s="1">
        <v>4770</v>
      </c>
      <c r="D148" s="1">
        <v>4591.5498049999997</v>
      </c>
      <c r="E148" s="1">
        <v>4733</v>
      </c>
      <c r="F148" s="1">
        <v>4733</v>
      </c>
      <c r="G148" s="1">
        <v>762605</v>
      </c>
    </row>
    <row r="149" spans="1:7" x14ac:dyDescent="0.3">
      <c r="A149" s="2">
        <v>44497</v>
      </c>
      <c r="B149" s="1">
        <v>4748</v>
      </c>
      <c r="C149" s="1">
        <v>4776.8500979999999</v>
      </c>
      <c r="D149" s="1">
        <v>4620</v>
      </c>
      <c r="E149" s="1">
        <v>4675.6499020000001</v>
      </c>
      <c r="F149" s="1">
        <v>4675.6499020000001</v>
      </c>
      <c r="G149" s="1">
        <v>375073</v>
      </c>
    </row>
    <row r="150" spans="1:7" x14ac:dyDescent="0.3">
      <c r="A150" s="2">
        <v>44498</v>
      </c>
      <c r="B150" s="1">
        <v>4669</v>
      </c>
      <c r="C150" s="1">
        <v>4725</v>
      </c>
      <c r="D150" s="1">
        <v>4561.1499020000001</v>
      </c>
      <c r="E150" s="1">
        <v>4635.4501950000003</v>
      </c>
      <c r="F150" s="1">
        <v>4635.4501950000003</v>
      </c>
      <c r="G150" s="1">
        <v>437818</v>
      </c>
    </row>
    <row r="151" spans="1:7" x14ac:dyDescent="0.3">
      <c r="A151" s="2">
        <v>44501</v>
      </c>
      <c r="B151" s="1">
        <v>4670</v>
      </c>
      <c r="C151" s="1">
        <v>4708</v>
      </c>
      <c r="D151" s="1">
        <v>4550</v>
      </c>
      <c r="E151" s="1">
        <v>4564.75</v>
      </c>
      <c r="F151" s="1">
        <v>4564.75</v>
      </c>
      <c r="G151" s="1">
        <v>392446</v>
      </c>
    </row>
    <row r="152" spans="1:7" x14ac:dyDescent="0.3">
      <c r="A152" s="2">
        <v>44502</v>
      </c>
      <c r="B152" s="1">
        <v>4596.7001950000003</v>
      </c>
      <c r="C152" s="1">
        <v>4666.7998049999997</v>
      </c>
      <c r="D152" s="1">
        <v>4580</v>
      </c>
      <c r="E152" s="1">
        <v>4597.0498049999997</v>
      </c>
      <c r="F152" s="1">
        <v>4597.0498049999997</v>
      </c>
      <c r="G152" s="1">
        <v>304774</v>
      </c>
    </row>
    <row r="153" spans="1:7" x14ac:dyDescent="0.3">
      <c r="A153" s="2">
        <v>44503</v>
      </c>
      <c r="B153" s="1">
        <v>4644</v>
      </c>
      <c r="C153" s="1">
        <v>4790</v>
      </c>
      <c r="D153" s="1">
        <v>4600</v>
      </c>
      <c r="E153" s="1">
        <v>4741.2998049999997</v>
      </c>
      <c r="F153" s="1">
        <v>4741.2998049999997</v>
      </c>
      <c r="G153" s="1">
        <v>462222</v>
      </c>
    </row>
    <row r="154" spans="1:7" x14ac:dyDescent="0.3">
      <c r="A154" s="2">
        <v>44504</v>
      </c>
      <c r="B154" s="1">
        <v>4780</v>
      </c>
      <c r="C154" s="1">
        <v>4824.7998049999997</v>
      </c>
      <c r="D154" s="1">
        <v>4760.0498049999997</v>
      </c>
      <c r="E154" s="1">
        <v>4783.7001950000003</v>
      </c>
      <c r="F154" s="1">
        <v>4783.7001950000003</v>
      </c>
      <c r="G154" s="1">
        <v>136777</v>
      </c>
    </row>
    <row r="155" spans="1:7" x14ac:dyDescent="0.3">
      <c r="A155" s="2">
        <v>44508</v>
      </c>
      <c r="B155" s="1">
        <v>4783</v>
      </c>
      <c r="C155" s="1">
        <v>4867.2998049999997</v>
      </c>
      <c r="D155" s="1">
        <v>4720</v>
      </c>
      <c r="E155" s="1">
        <v>4748.5</v>
      </c>
      <c r="F155" s="1">
        <v>4748.5</v>
      </c>
      <c r="G155" s="1">
        <v>340161</v>
      </c>
    </row>
    <row r="156" spans="1:7" x14ac:dyDescent="0.3">
      <c r="A156" s="2">
        <v>44509</v>
      </c>
      <c r="B156" s="1">
        <v>4748</v>
      </c>
      <c r="C156" s="1">
        <v>4774.2998049999997</v>
      </c>
      <c r="D156" s="1">
        <v>4723.7001950000003</v>
      </c>
      <c r="E156" s="1">
        <v>4757.1499020000001</v>
      </c>
      <c r="F156" s="1">
        <v>4757.1499020000001</v>
      </c>
      <c r="G156" s="1">
        <v>180363</v>
      </c>
    </row>
    <row r="157" spans="1:7" x14ac:dyDescent="0.3">
      <c r="A157" s="2">
        <v>44510</v>
      </c>
      <c r="B157" s="1">
        <v>4745</v>
      </c>
      <c r="C157" s="1">
        <v>5000</v>
      </c>
      <c r="D157" s="1">
        <v>4726</v>
      </c>
      <c r="E157" s="1">
        <v>4960.2998049999997</v>
      </c>
      <c r="F157" s="1">
        <v>4960.2998049999997</v>
      </c>
      <c r="G157" s="1">
        <v>1128493</v>
      </c>
    </row>
    <row r="158" spans="1:7" x14ac:dyDescent="0.3">
      <c r="A158" s="2">
        <v>44511</v>
      </c>
      <c r="B158" s="1">
        <v>4960.2998049999997</v>
      </c>
      <c r="C158" s="1">
        <v>5040</v>
      </c>
      <c r="D158" s="1">
        <v>4901.1499020000001</v>
      </c>
      <c r="E158" s="1">
        <v>4997.75</v>
      </c>
      <c r="F158" s="1">
        <v>4997.75</v>
      </c>
      <c r="G158" s="1">
        <v>735028</v>
      </c>
    </row>
    <row r="159" spans="1:7" x14ac:dyDescent="0.3">
      <c r="A159" s="2">
        <v>44512</v>
      </c>
      <c r="B159" s="1">
        <v>5044.9501950000003</v>
      </c>
      <c r="C159" s="1">
        <v>5097.6499020000001</v>
      </c>
      <c r="D159" s="1">
        <v>5026.9501950000003</v>
      </c>
      <c r="E159" s="1">
        <v>5078.5498049999997</v>
      </c>
      <c r="F159" s="1">
        <v>5078.5498049999997</v>
      </c>
      <c r="G159" s="1">
        <v>487061</v>
      </c>
    </row>
    <row r="160" spans="1:7" x14ac:dyDescent="0.3">
      <c r="A160" s="2">
        <v>44515</v>
      </c>
      <c r="B160" s="1">
        <v>5075</v>
      </c>
      <c r="C160" s="1">
        <v>5075</v>
      </c>
      <c r="D160" s="1">
        <v>4980</v>
      </c>
      <c r="E160" s="1">
        <v>5023.2998049999997</v>
      </c>
      <c r="F160" s="1">
        <v>5023.2998049999997</v>
      </c>
      <c r="G160" s="1">
        <v>324397</v>
      </c>
    </row>
    <row r="161" spans="1:7" x14ac:dyDescent="0.3">
      <c r="A161" s="2">
        <v>44516</v>
      </c>
      <c r="B161" s="1">
        <v>5025</v>
      </c>
      <c r="C161" s="1">
        <v>5100</v>
      </c>
      <c r="D161" s="1">
        <v>4982</v>
      </c>
      <c r="E161" s="1">
        <v>5081.5</v>
      </c>
      <c r="F161" s="1">
        <v>5081.5</v>
      </c>
      <c r="G161" s="1">
        <v>538836</v>
      </c>
    </row>
    <row r="162" spans="1:7" x14ac:dyDescent="0.3">
      <c r="A162" s="2">
        <v>44517</v>
      </c>
      <c r="B162" s="1">
        <v>5080</v>
      </c>
      <c r="C162" s="1">
        <v>5180</v>
      </c>
      <c r="D162" s="1">
        <v>5079.75</v>
      </c>
      <c r="E162" s="1">
        <v>5126.3999020000001</v>
      </c>
      <c r="F162" s="1">
        <v>5126.3999020000001</v>
      </c>
      <c r="G162" s="1">
        <v>447914</v>
      </c>
    </row>
    <row r="163" spans="1:7" x14ac:dyDescent="0.3">
      <c r="A163" s="2">
        <v>44518</v>
      </c>
      <c r="B163" s="1">
        <v>5130</v>
      </c>
      <c r="C163" s="1">
        <v>5180</v>
      </c>
      <c r="D163" s="1">
        <v>5037</v>
      </c>
      <c r="E163" s="1">
        <v>5080.8999020000001</v>
      </c>
      <c r="F163" s="1">
        <v>5080.8999020000001</v>
      </c>
      <c r="G163" s="1">
        <v>428372</v>
      </c>
    </row>
    <row r="164" spans="1:7" x14ac:dyDescent="0.3">
      <c r="A164" s="2">
        <v>44522</v>
      </c>
      <c r="B164" s="1">
        <v>5100</v>
      </c>
      <c r="C164" s="1">
        <v>5100</v>
      </c>
      <c r="D164" s="1">
        <v>4782</v>
      </c>
      <c r="E164" s="1">
        <v>4828.2998049999997</v>
      </c>
      <c r="F164" s="1">
        <v>4828.2998049999997</v>
      </c>
      <c r="G164" s="1">
        <v>650655</v>
      </c>
    </row>
    <row r="165" spans="1:7" x14ac:dyDescent="0.3">
      <c r="A165" s="2">
        <v>44523</v>
      </c>
      <c r="B165" s="1">
        <v>4829</v>
      </c>
      <c r="C165" s="1">
        <v>4920</v>
      </c>
      <c r="D165" s="1">
        <v>4758.1499020000001</v>
      </c>
      <c r="E165" s="1">
        <v>4843.2998049999997</v>
      </c>
      <c r="F165" s="1">
        <v>4843.2998049999997</v>
      </c>
      <c r="G165" s="1">
        <v>580934</v>
      </c>
    </row>
    <row r="166" spans="1:7" x14ac:dyDescent="0.3">
      <c r="A166" s="2">
        <v>44524</v>
      </c>
      <c r="B166" s="1">
        <v>4876</v>
      </c>
      <c r="C166" s="1">
        <v>4958.9501950000003</v>
      </c>
      <c r="D166" s="1">
        <v>4850.0498049999997</v>
      </c>
      <c r="E166" s="1">
        <v>4882.6000979999999</v>
      </c>
      <c r="F166" s="1">
        <v>4882.6000979999999</v>
      </c>
      <c r="G166" s="1">
        <v>483901</v>
      </c>
    </row>
    <row r="167" spans="1:7" x14ac:dyDescent="0.3">
      <c r="A167" s="2">
        <v>44525</v>
      </c>
      <c r="B167" s="1">
        <v>4930</v>
      </c>
      <c r="C167" s="1">
        <v>4930</v>
      </c>
      <c r="D167" s="1">
        <v>4854.6499020000001</v>
      </c>
      <c r="E167" s="1">
        <v>4894.5</v>
      </c>
      <c r="F167" s="1">
        <v>4894.5</v>
      </c>
      <c r="G167" s="1">
        <v>364378</v>
      </c>
    </row>
    <row r="168" spans="1:7" x14ac:dyDescent="0.3">
      <c r="A168" s="2">
        <v>44526</v>
      </c>
      <c r="B168" s="1">
        <v>4860</v>
      </c>
      <c r="C168" s="1">
        <v>4860</v>
      </c>
      <c r="D168" s="1">
        <v>4700.1000979999999</v>
      </c>
      <c r="E168" s="1">
        <v>4718.75</v>
      </c>
      <c r="F168" s="1">
        <v>4718.75</v>
      </c>
      <c r="G168" s="1">
        <v>518551</v>
      </c>
    </row>
    <row r="169" spans="1:7" x14ac:dyDescent="0.3">
      <c r="A169" s="2">
        <v>44529</v>
      </c>
      <c r="B169" s="1">
        <v>4687</v>
      </c>
      <c r="C169" s="1">
        <v>4721</v>
      </c>
      <c r="D169" s="1">
        <v>4455</v>
      </c>
      <c r="E169" s="1">
        <v>4673.3500979999999</v>
      </c>
      <c r="F169" s="1">
        <v>4673.3500979999999</v>
      </c>
      <c r="G169" s="1">
        <v>609710</v>
      </c>
    </row>
    <row r="170" spans="1:7" x14ac:dyDescent="0.3">
      <c r="A170" s="2">
        <v>44530</v>
      </c>
      <c r="B170" s="1">
        <v>4673.3999020000001</v>
      </c>
      <c r="C170" s="1">
        <v>4800</v>
      </c>
      <c r="D170" s="1">
        <v>4661</v>
      </c>
      <c r="E170" s="1">
        <v>4710.8999020000001</v>
      </c>
      <c r="F170" s="1">
        <v>4710.8999020000001</v>
      </c>
      <c r="G170" s="1">
        <v>790479</v>
      </c>
    </row>
    <row r="171" spans="1:7" x14ac:dyDescent="0.3">
      <c r="A171" s="2">
        <v>44531</v>
      </c>
      <c r="B171" s="1">
        <v>4750</v>
      </c>
      <c r="C171" s="1">
        <v>4848</v>
      </c>
      <c r="D171" s="1">
        <v>4666</v>
      </c>
      <c r="E171" s="1">
        <v>4693.7001950000003</v>
      </c>
      <c r="F171" s="1">
        <v>4693.7001950000003</v>
      </c>
      <c r="G171" s="1">
        <v>374830</v>
      </c>
    </row>
    <row r="172" spans="1:7" x14ac:dyDescent="0.3">
      <c r="A172" s="2">
        <v>44532</v>
      </c>
      <c r="B172" s="1">
        <v>4750</v>
      </c>
      <c r="C172" s="1">
        <v>4794.5498049999997</v>
      </c>
      <c r="D172" s="1">
        <v>4718.4501950000003</v>
      </c>
      <c r="E172" s="1">
        <v>4782.9501950000003</v>
      </c>
      <c r="F172" s="1">
        <v>4782.9501950000003</v>
      </c>
      <c r="G172" s="1">
        <v>351343</v>
      </c>
    </row>
    <row r="173" spans="1:7" x14ac:dyDescent="0.3">
      <c r="A173" s="2">
        <v>44533</v>
      </c>
      <c r="B173" s="1">
        <v>4799</v>
      </c>
      <c r="C173" s="1">
        <v>4850</v>
      </c>
      <c r="D173" s="1">
        <v>4775</v>
      </c>
      <c r="E173" s="1">
        <v>4799.0498049999997</v>
      </c>
      <c r="F173" s="1">
        <v>4799.0498049999997</v>
      </c>
      <c r="G173" s="1">
        <v>287731</v>
      </c>
    </row>
    <row r="174" spans="1:7" x14ac:dyDescent="0.3">
      <c r="A174" s="2">
        <v>44536</v>
      </c>
      <c r="B174" s="1">
        <v>4820</v>
      </c>
      <c r="C174" s="1">
        <v>4821.9501950000003</v>
      </c>
      <c r="D174" s="1">
        <v>4580</v>
      </c>
      <c r="E174" s="1">
        <v>4593.4501950000003</v>
      </c>
      <c r="F174" s="1">
        <v>4593.4501950000003</v>
      </c>
      <c r="G174" s="1">
        <v>466595</v>
      </c>
    </row>
    <row r="175" spans="1:7" x14ac:dyDescent="0.3">
      <c r="A175" s="2">
        <v>44537</v>
      </c>
      <c r="B175" s="1">
        <v>4674.7001950000003</v>
      </c>
      <c r="C175" s="1">
        <v>4719</v>
      </c>
      <c r="D175" s="1">
        <v>4611</v>
      </c>
      <c r="E175" s="1">
        <v>4660.6499020000001</v>
      </c>
      <c r="F175" s="1">
        <v>4660.6499020000001</v>
      </c>
      <c r="G175" s="1">
        <v>435517</v>
      </c>
    </row>
    <row r="176" spans="1:7" x14ac:dyDescent="0.3">
      <c r="A176" s="2">
        <v>44538</v>
      </c>
      <c r="B176" s="1">
        <v>4708.2001950000003</v>
      </c>
      <c r="C176" s="1">
        <v>4842</v>
      </c>
      <c r="D176" s="1">
        <v>4708.2001950000003</v>
      </c>
      <c r="E176" s="1">
        <v>4814.6000979999999</v>
      </c>
      <c r="F176" s="1">
        <v>4814.6000979999999</v>
      </c>
      <c r="G176" s="1">
        <v>763280</v>
      </c>
    </row>
    <row r="177" spans="1:7" x14ac:dyDescent="0.3">
      <c r="A177" s="2">
        <v>44539</v>
      </c>
      <c r="B177" s="1">
        <v>4822</v>
      </c>
      <c r="C177" s="1">
        <v>4878.3999020000001</v>
      </c>
      <c r="D177" s="1">
        <v>4777</v>
      </c>
      <c r="E177" s="1">
        <v>4821.2001950000003</v>
      </c>
      <c r="F177" s="1">
        <v>4821.2001950000003</v>
      </c>
      <c r="G177" s="1">
        <v>316687</v>
      </c>
    </row>
    <row r="178" spans="1:7" x14ac:dyDescent="0.3">
      <c r="A178" s="2">
        <v>44540</v>
      </c>
      <c r="B178" s="1">
        <v>4798</v>
      </c>
      <c r="C178" s="1">
        <v>4809.7001950000003</v>
      </c>
      <c r="D178" s="1">
        <v>4775.5</v>
      </c>
      <c r="E178" s="1">
        <v>4796.6000979999999</v>
      </c>
      <c r="F178" s="1">
        <v>4796.6000979999999</v>
      </c>
      <c r="G178" s="1">
        <v>173574</v>
      </c>
    </row>
    <row r="179" spans="1:7" x14ac:dyDescent="0.3">
      <c r="A179" s="2">
        <v>44543</v>
      </c>
      <c r="B179" s="1">
        <v>4830</v>
      </c>
      <c r="C179" s="1">
        <v>4870</v>
      </c>
      <c r="D179" s="1">
        <v>4750</v>
      </c>
      <c r="E179" s="1">
        <v>4765.7998049999997</v>
      </c>
      <c r="F179" s="1">
        <v>4765.7998049999997</v>
      </c>
      <c r="G179" s="1">
        <v>283323</v>
      </c>
    </row>
    <row r="180" spans="1:7" x14ac:dyDescent="0.3">
      <c r="A180" s="2">
        <v>44544</v>
      </c>
      <c r="B180" s="1">
        <v>4764.75</v>
      </c>
      <c r="C180" s="1">
        <v>4840</v>
      </c>
      <c r="D180" s="1">
        <v>4714.1000979999999</v>
      </c>
      <c r="E180" s="1">
        <v>4814.3999020000001</v>
      </c>
      <c r="F180" s="1">
        <v>4814.3999020000001</v>
      </c>
      <c r="G180" s="1">
        <v>352396</v>
      </c>
    </row>
    <row r="181" spans="1:7" x14ac:dyDescent="0.3">
      <c r="A181" s="2">
        <v>44545</v>
      </c>
      <c r="B181" s="1">
        <v>4799.8999020000001</v>
      </c>
      <c r="C181" s="1">
        <v>4814.25</v>
      </c>
      <c r="D181" s="1">
        <v>4740</v>
      </c>
      <c r="E181" s="1">
        <v>4749.4501950000003</v>
      </c>
      <c r="F181" s="1">
        <v>4749.4501950000003</v>
      </c>
      <c r="G181" s="1">
        <v>410084</v>
      </c>
    </row>
    <row r="182" spans="1:7" x14ac:dyDescent="0.3">
      <c r="A182" s="2">
        <v>44546</v>
      </c>
      <c r="B182" s="1">
        <v>4801</v>
      </c>
      <c r="C182" s="1">
        <v>4815.1499020000001</v>
      </c>
      <c r="D182" s="1">
        <v>4726.1499020000001</v>
      </c>
      <c r="E182" s="1">
        <v>4742.1000979999999</v>
      </c>
      <c r="F182" s="1">
        <v>4742.1000979999999</v>
      </c>
      <c r="G182" s="1">
        <v>243570</v>
      </c>
    </row>
    <row r="183" spans="1:7" x14ac:dyDescent="0.3">
      <c r="A183" s="2">
        <v>44547</v>
      </c>
      <c r="B183" s="1">
        <v>4771</v>
      </c>
      <c r="C183" s="1">
        <v>4791.25</v>
      </c>
      <c r="D183" s="1">
        <v>4672.1499020000001</v>
      </c>
      <c r="E183" s="1">
        <v>4697.7998049999997</v>
      </c>
      <c r="F183" s="1">
        <v>4697.7998049999997</v>
      </c>
      <c r="G183" s="1">
        <v>454824</v>
      </c>
    </row>
    <row r="184" spans="1:7" x14ac:dyDescent="0.3">
      <c r="A184" s="2">
        <v>44550</v>
      </c>
      <c r="B184" s="1">
        <v>4669</v>
      </c>
      <c r="C184" s="1">
        <v>4690</v>
      </c>
      <c r="D184" s="1">
        <v>4552.25</v>
      </c>
      <c r="E184" s="1">
        <v>4618.9501950000003</v>
      </c>
      <c r="F184" s="1">
        <v>4618.9501950000003</v>
      </c>
      <c r="G184" s="1">
        <v>310441</v>
      </c>
    </row>
    <row r="185" spans="1:7" x14ac:dyDescent="0.3">
      <c r="A185" s="2">
        <v>44551</v>
      </c>
      <c r="B185" s="1">
        <v>4612.5</v>
      </c>
      <c r="C185" s="1">
        <v>4677</v>
      </c>
      <c r="D185" s="1">
        <v>4571.0498049999997</v>
      </c>
      <c r="E185" s="1">
        <v>4587.3999020000001</v>
      </c>
      <c r="F185" s="1">
        <v>4587.3999020000001</v>
      </c>
      <c r="G185" s="1">
        <v>312536</v>
      </c>
    </row>
    <row r="186" spans="1:7" x14ac:dyDescent="0.3">
      <c r="A186" s="2">
        <v>44552</v>
      </c>
      <c r="B186" s="1">
        <v>4627.9501950000003</v>
      </c>
      <c r="C186" s="1">
        <v>4695.5</v>
      </c>
      <c r="D186" s="1">
        <v>4587.3999020000001</v>
      </c>
      <c r="E186" s="1">
        <v>4655.8500979999999</v>
      </c>
      <c r="F186" s="1">
        <v>4655.8500979999999</v>
      </c>
      <c r="G186" s="1">
        <v>338380</v>
      </c>
    </row>
    <row r="187" spans="1:7" x14ac:dyDescent="0.3">
      <c r="A187" s="2">
        <v>44553</v>
      </c>
      <c r="B187" s="1">
        <v>4711.25</v>
      </c>
      <c r="C187" s="1">
        <v>4711.25</v>
      </c>
      <c r="D187" s="1">
        <v>4631.3999020000001</v>
      </c>
      <c r="E187" s="1">
        <v>4647.8999020000001</v>
      </c>
      <c r="F187" s="1">
        <v>4647.8999020000001</v>
      </c>
      <c r="G187" s="1">
        <v>204211</v>
      </c>
    </row>
    <row r="188" spans="1:7" x14ac:dyDescent="0.3">
      <c r="A188" s="2">
        <v>44554</v>
      </c>
      <c r="B188" s="1">
        <v>4674</v>
      </c>
      <c r="C188" s="1">
        <v>4674</v>
      </c>
      <c r="D188" s="1">
        <v>4615</v>
      </c>
      <c r="E188" s="1">
        <v>4628.8999020000001</v>
      </c>
      <c r="F188" s="1">
        <v>4628.8999020000001</v>
      </c>
      <c r="G188" s="1">
        <v>122078</v>
      </c>
    </row>
    <row r="189" spans="1:7" x14ac:dyDescent="0.3">
      <c r="A189" s="2">
        <v>44557</v>
      </c>
      <c r="B189" s="1">
        <v>4599</v>
      </c>
      <c r="C189" s="1">
        <v>4680</v>
      </c>
      <c r="D189" s="1">
        <v>4555.25</v>
      </c>
      <c r="E189" s="1">
        <v>4668.6499020000001</v>
      </c>
      <c r="F189" s="1">
        <v>4668.6499020000001</v>
      </c>
      <c r="G189" s="1">
        <v>294366</v>
      </c>
    </row>
    <row r="190" spans="1:7" x14ac:dyDescent="0.3">
      <c r="A190" s="2">
        <v>44558</v>
      </c>
      <c r="B190" s="1">
        <v>4680</v>
      </c>
      <c r="C190" s="1">
        <v>4760.9501950000003</v>
      </c>
      <c r="D190" s="1">
        <v>4645</v>
      </c>
      <c r="E190" s="1">
        <v>4721.9501950000003</v>
      </c>
      <c r="F190" s="1">
        <v>4721.9501950000003</v>
      </c>
      <c r="G190" s="1">
        <v>320963</v>
      </c>
    </row>
    <row r="191" spans="1:7" x14ac:dyDescent="0.3">
      <c r="A191" s="2">
        <v>44559</v>
      </c>
      <c r="B191" s="1">
        <v>4739</v>
      </c>
      <c r="C191" s="1">
        <v>4748.7001950000003</v>
      </c>
      <c r="D191" s="1">
        <v>4675</v>
      </c>
      <c r="E191" s="1">
        <v>4683.9501950000003</v>
      </c>
      <c r="F191" s="1">
        <v>4683.9501950000003</v>
      </c>
      <c r="G191" s="1">
        <v>176720</v>
      </c>
    </row>
    <row r="192" spans="1:7" x14ac:dyDescent="0.3">
      <c r="A192" s="2">
        <v>44560</v>
      </c>
      <c r="B192" s="1">
        <v>4677.5</v>
      </c>
      <c r="C192" s="1">
        <v>4699</v>
      </c>
      <c r="D192" s="1">
        <v>4625</v>
      </c>
      <c r="E192" s="1">
        <v>4639.3500979999999</v>
      </c>
      <c r="F192" s="1">
        <v>4639.3500979999999</v>
      </c>
      <c r="G192" s="1">
        <v>195753</v>
      </c>
    </row>
    <row r="193" spans="1:7" x14ac:dyDescent="0.3">
      <c r="A193" s="2">
        <v>44561</v>
      </c>
      <c r="B193" s="1">
        <v>4641</v>
      </c>
      <c r="C193" s="1">
        <v>4692.75</v>
      </c>
      <c r="D193" s="1">
        <v>4636</v>
      </c>
      <c r="E193" s="1">
        <v>4671.4501950000003</v>
      </c>
      <c r="F193" s="1">
        <v>4671.4501950000003</v>
      </c>
      <c r="G193" s="1">
        <v>172788</v>
      </c>
    </row>
    <row r="194" spans="1:7" x14ac:dyDescent="0.3">
      <c r="A194" s="2">
        <v>44564</v>
      </c>
      <c r="B194" s="1">
        <v>4770</v>
      </c>
      <c r="C194" s="1">
        <v>4799</v>
      </c>
      <c r="D194" s="1">
        <v>4701.2001950000003</v>
      </c>
      <c r="E194" s="1">
        <v>4711.5</v>
      </c>
      <c r="F194" s="1">
        <v>4711.5</v>
      </c>
      <c r="G194" s="1">
        <v>534384</v>
      </c>
    </row>
    <row r="195" spans="1:7" x14ac:dyDescent="0.3">
      <c r="A195" s="2">
        <v>44565</v>
      </c>
      <c r="B195" s="1">
        <v>4758.8999020000001</v>
      </c>
      <c r="C195" s="1">
        <v>4758.8999020000001</v>
      </c>
      <c r="D195" s="1">
        <v>4685</v>
      </c>
      <c r="E195" s="1">
        <v>4726.9501950000003</v>
      </c>
      <c r="F195" s="1">
        <v>4726.9501950000003</v>
      </c>
      <c r="G195" s="1">
        <v>242287</v>
      </c>
    </row>
    <row r="196" spans="1:7" x14ac:dyDescent="0.3">
      <c r="A196" s="2">
        <v>44566</v>
      </c>
      <c r="B196" s="1">
        <v>4725</v>
      </c>
      <c r="C196" s="1">
        <v>4725</v>
      </c>
      <c r="D196" s="1">
        <v>4646</v>
      </c>
      <c r="E196" s="1">
        <v>4687.3999020000001</v>
      </c>
      <c r="F196" s="1">
        <v>4687.3999020000001</v>
      </c>
      <c r="G196" s="1">
        <v>287948</v>
      </c>
    </row>
    <row r="197" spans="1:7" x14ac:dyDescent="0.3">
      <c r="A197" s="2">
        <v>44567</v>
      </c>
      <c r="B197" s="1">
        <v>4669.1000979999999</v>
      </c>
      <c r="C197" s="1">
        <v>4716</v>
      </c>
      <c r="D197" s="1">
        <v>4642.6499020000001</v>
      </c>
      <c r="E197" s="1">
        <v>4705.6499020000001</v>
      </c>
      <c r="F197" s="1">
        <v>4705.6499020000001</v>
      </c>
      <c r="G197" s="1">
        <v>361505</v>
      </c>
    </row>
    <row r="198" spans="1:7" x14ac:dyDescent="0.3">
      <c r="A198" s="2">
        <v>44568</v>
      </c>
      <c r="B198" s="1">
        <v>4715</v>
      </c>
      <c r="C198" s="1">
        <v>4748</v>
      </c>
      <c r="D198" s="1">
        <v>4696.1499020000001</v>
      </c>
      <c r="E198" s="1">
        <v>4731.3500979999999</v>
      </c>
      <c r="F198" s="1">
        <v>4731.3500979999999</v>
      </c>
      <c r="G198" s="1">
        <v>301517</v>
      </c>
    </row>
    <row r="199" spans="1:7" x14ac:dyDescent="0.3">
      <c r="A199" s="2">
        <v>44571</v>
      </c>
      <c r="B199" s="1">
        <v>4784.8999020000001</v>
      </c>
      <c r="C199" s="1">
        <v>4784.8999020000001</v>
      </c>
      <c r="D199" s="1">
        <v>4620</v>
      </c>
      <c r="E199" s="1">
        <v>4633.5498049999997</v>
      </c>
      <c r="F199" s="1">
        <v>4633.5498049999997</v>
      </c>
      <c r="G199" s="1">
        <v>1037618</v>
      </c>
    </row>
    <row r="200" spans="1:7" x14ac:dyDescent="0.3">
      <c r="A200" s="2">
        <v>44572</v>
      </c>
      <c r="B200" s="1">
        <v>4649</v>
      </c>
      <c r="C200" s="1">
        <v>4654.8999020000001</v>
      </c>
      <c r="D200" s="1">
        <v>4499</v>
      </c>
      <c r="E200" s="1">
        <v>4504.8999020000001</v>
      </c>
      <c r="F200" s="1">
        <v>4504.8999020000001</v>
      </c>
      <c r="G200" s="1">
        <v>791417</v>
      </c>
    </row>
    <row r="201" spans="1:7" x14ac:dyDescent="0.3">
      <c r="A201" s="2">
        <v>44573</v>
      </c>
      <c r="B201" s="1">
        <v>4500</v>
      </c>
      <c r="C201" s="1">
        <v>4500</v>
      </c>
      <c r="D201" s="1">
        <v>4165.2998049999997</v>
      </c>
      <c r="E201" s="1">
        <v>4276.1000979999999</v>
      </c>
      <c r="F201" s="1">
        <v>4276.1000979999999</v>
      </c>
      <c r="G201" s="1">
        <v>2521043</v>
      </c>
    </row>
    <row r="202" spans="1:7" x14ac:dyDescent="0.3">
      <c r="A202" s="2">
        <v>44574</v>
      </c>
      <c r="B202" s="1">
        <v>4276</v>
      </c>
      <c r="C202" s="1">
        <v>4354.4501950000003</v>
      </c>
      <c r="D202" s="1">
        <v>4221.6000979999999</v>
      </c>
      <c r="E202" s="1">
        <v>4254.6000979999999</v>
      </c>
      <c r="F202" s="1">
        <v>4254.6000979999999</v>
      </c>
      <c r="G202" s="1">
        <v>1090010</v>
      </c>
    </row>
    <row r="203" spans="1:7" x14ac:dyDescent="0.3">
      <c r="A203" s="2">
        <v>44575</v>
      </c>
      <c r="B203" s="1">
        <v>4266</v>
      </c>
      <c r="C203" s="1">
        <v>4344.4501950000003</v>
      </c>
      <c r="D203" s="1">
        <v>4256.1499020000001</v>
      </c>
      <c r="E203" s="1">
        <v>4322.7001950000003</v>
      </c>
      <c r="F203" s="1">
        <v>4322.7001950000003</v>
      </c>
      <c r="G203" s="1">
        <v>896929</v>
      </c>
    </row>
    <row r="204" spans="1:7" x14ac:dyDescent="0.3">
      <c r="A204" s="2">
        <v>44578</v>
      </c>
      <c r="B204" s="1">
        <v>4365</v>
      </c>
      <c r="C204" s="1">
        <v>4414</v>
      </c>
      <c r="D204" s="1">
        <v>4290.4501950000003</v>
      </c>
      <c r="E204" s="1">
        <v>4400.5</v>
      </c>
      <c r="F204" s="1">
        <v>4400.5</v>
      </c>
      <c r="G204" s="1">
        <v>870335</v>
      </c>
    </row>
    <row r="205" spans="1:7" x14ac:dyDescent="0.3">
      <c r="A205" s="2">
        <v>44579</v>
      </c>
      <c r="B205" s="1">
        <v>4425</v>
      </c>
      <c r="C205" s="1">
        <v>4500</v>
      </c>
      <c r="D205" s="1">
        <v>4381</v>
      </c>
      <c r="E205" s="1">
        <v>4441.1499020000001</v>
      </c>
      <c r="F205" s="1">
        <v>4441.1499020000001</v>
      </c>
      <c r="G205" s="1">
        <v>940894</v>
      </c>
    </row>
    <row r="206" spans="1:7" x14ac:dyDescent="0.3">
      <c r="A206" s="2">
        <v>44580</v>
      </c>
      <c r="B206" s="1">
        <v>4459</v>
      </c>
      <c r="C206" s="1">
        <v>4505</v>
      </c>
      <c r="D206" s="1">
        <v>4365</v>
      </c>
      <c r="E206" s="1">
        <v>4483.3999020000001</v>
      </c>
      <c r="F206" s="1">
        <v>4483.3999020000001</v>
      </c>
      <c r="G206" s="1">
        <v>579886</v>
      </c>
    </row>
    <row r="207" spans="1:7" x14ac:dyDescent="0.3">
      <c r="A207" s="2">
        <v>44581</v>
      </c>
      <c r="B207" s="1">
        <v>4517</v>
      </c>
      <c r="C207" s="1">
        <v>4517</v>
      </c>
      <c r="D207" s="1">
        <v>4462.3500979999999</v>
      </c>
      <c r="E207" s="1">
        <v>4483.5498049999997</v>
      </c>
      <c r="F207" s="1">
        <v>4483.5498049999997</v>
      </c>
      <c r="G207" s="1">
        <v>350124</v>
      </c>
    </row>
    <row r="208" spans="1:7" x14ac:dyDescent="0.3">
      <c r="A208" s="2">
        <v>44582</v>
      </c>
      <c r="B208" s="1">
        <v>4410</v>
      </c>
      <c r="C208" s="1">
        <v>4435.4501950000003</v>
      </c>
      <c r="D208" s="1">
        <v>4281</v>
      </c>
      <c r="E208" s="1">
        <v>4299.7998049999997</v>
      </c>
      <c r="F208" s="1">
        <v>4299.7998049999997</v>
      </c>
      <c r="G208" s="1">
        <v>606584</v>
      </c>
    </row>
    <row r="209" spans="1:7" x14ac:dyDescent="0.3">
      <c r="A209" s="2">
        <v>44585</v>
      </c>
      <c r="B209" s="1">
        <v>4300</v>
      </c>
      <c r="C209" s="1">
        <v>4316.8999020000001</v>
      </c>
      <c r="D209" s="1">
        <v>3978</v>
      </c>
      <c r="E209" s="1">
        <v>4035.3000489999999</v>
      </c>
      <c r="F209" s="1">
        <v>4035.3000489999999</v>
      </c>
      <c r="G209" s="1">
        <v>1126974</v>
      </c>
    </row>
    <row r="210" spans="1:7" x14ac:dyDescent="0.3">
      <c r="A210" s="2">
        <v>44586</v>
      </c>
      <c r="B210" s="1">
        <v>4025</v>
      </c>
      <c r="C210" s="1">
        <v>4120</v>
      </c>
      <c r="D210" s="1">
        <v>3881.25</v>
      </c>
      <c r="E210" s="1">
        <v>4095.4499510000001</v>
      </c>
      <c r="F210" s="1">
        <v>4095.4499510000001</v>
      </c>
      <c r="G210" s="1">
        <v>810518</v>
      </c>
    </row>
    <row r="211" spans="1:7" x14ac:dyDescent="0.3">
      <c r="A211" s="2">
        <v>44588</v>
      </c>
      <c r="B211" s="1">
        <v>4040</v>
      </c>
      <c r="C211" s="1">
        <v>4144.1000979999999</v>
      </c>
      <c r="D211" s="1">
        <v>3994.9499510000001</v>
      </c>
      <c r="E211" s="1">
        <v>4063.3000489999999</v>
      </c>
      <c r="F211" s="1">
        <v>4063.3000489999999</v>
      </c>
      <c r="G211" s="1">
        <v>675652</v>
      </c>
    </row>
    <row r="212" spans="1:7" x14ac:dyDescent="0.3">
      <c r="A212" s="2">
        <v>44589</v>
      </c>
      <c r="B212" s="1">
        <v>4130</v>
      </c>
      <c r="C212" s="1">
        <v>4150.8999020000001</v>
      </c>
      <c r="D212" s="1">
        <v>4046</v>
      </c>
      <c r="E212" s="1">
        <v>4076</v>
      </c>
      <c r="F212" s="1">
        <v>4076</v>
      </c>
      <c r="G212" s="1">
        <v>582484</v>
      </c>
    </row>
    <row r="213" spans="1:7" x14ac:dyDescent="0.3">
      <c r="A213" s="2">
        <v>44592</v>
      </c>
      <c r="B213" s="1">
        <v>4140</v>
      </c>
      <c r="C213" s="1">
        <v>4171</v>
      </c>
      <c r="D213" s="1">
        <v>4092</v>
      </c>
      <c r="E213" s="1">
        <v>4114.3500979999999</v>
      </c>
      <c r="F213" s="1">
        <v>4114.3500979999999</v>
      </c>
      <c r="G213" s="1">
        <v>478099</v>
      </c>
    </row>
    <row r="214" spans="1:7" x14ac:dyDescent="0.3">
      <c r="A214" s="2">
        <v>44593</v>
      </c>
      <c r="B214" s="1">
        <v>4133.2001950000003</v>
      </c>
      <c r="C214" s="1">
        <v>4278</v>
      </c>
      <c r="D214" s="1">
        <v>4092</v>
      </c>
      <c r="E214" s="1">
        <v>4225.6000979999999</v>
      </c>
      <c r="F214" s="1">
        <v>4225.6000979999999</v>
      </c>
      <c r="G214" s="1">
        <v>321735</v>
      </c>
    </row>
    <row r="215" spans="1:7" x14ac:dyDescent="0.3">
      <c r="A215" s="2">
        <v>44594</v>
      </c>
      <c r="B215" s="1">
        <v>4274.2998049999997</v>
      </c>
      <c r="C215" s="1">
        <v>4275</v>
      </c>
      <c r="D215" s="1">
        <v>4211</v>
      </c>
      <c r="E215" s="1">
        <v>4236.6499020000001</v>
      </c>
      <c r="F215" s="1">
        <v>4236.6499020000001</v>
      </c>
      <c r="G215" s="1">
        <v>249200</v>
      </c>
    </row>
    <row r="216" spans="1:7" x14ac:dyDescent="0.3">
      <c r="A216" s="2">
        <v>44595</v>
      </c>
      <c r="B216" s="1">
        <v>4231.0498049999997</v>
      </c>
      <c r="C216" s="1">
        <v>4235</v>
      </c>
      <c r="D216" s="1">
        <v>4122.3500979999999</v>
      </c>
      <c r="E216" s="1">
        <v>4140</v>
      </c>
      <c r="F216" s="1">
        <v>4140</v>
      </c>
      <c r="G216" s="1">
        <v>337719</v>
      </c>
    </row>
    <row r="217" spans="1:7" x14ac:dyDescent="0.3">
      <c r="A217" s="2">
        <v>44596</v>
      </c>
      <c r="B217" s="1">
        <v>4140</v>
      </c>
      <c r="C217" s="1">
        <v>4140.2001950000003</v>
      </c>
      <c r="D217" s="1">
        <v>4075</v>
      </c>
      <c r="E217" s="1">
        <v>4081.8999020000001</v>
      </c>
      <c r="F217" s="1">
        <v>4081.8999020000001</v>
      </c>
      <c r="G217" s="1">
        <v>299981</v>
      </c>
    </row>
    <row r="218" spans="1:7" x14ac:dyDescent="0.3">
      <c r="A218" s="2">
        <v>44599</v>
      </c>
      <c r="B218" s="1">
        <v>4090</v>
      </c>
      <c r="C218" s="1">
        <v>4146.7998049999997</v>
      </c>
      <c r="D218" s="1">
        <v>4045.1999510000001</v>
      </c>
      <c r="E218" s="1">
        <v>4073.5500489999999</v>
      </c>
      <c r="F218" s="1">
        <v>4073.5500489999999</v>
      </c>
      <c r="G218" s="1">
        <v>288091</v>
      </c>
    </row>
    <row r="219" spans="1:7" x14ac:dyDescent="0.3">
      <c r="A219" s="2">
        <v>44600</v>
      </c>
      <c r="B219" s="1">
        <v>4098.8999020000001</v>
      </c>
      <c r="C219" s="1">
        <v>4128.9501950000003</v>
      </c>
      <c r="D219" s="1">
        <v>3995</v>
      </c>
      <c r="E219" s="1">
        <v>4015</v>
      </c>
      <c r="F219" s="1">
        <v>4015</v>
      </c>
      <c r="G219" s="1">
        <v>456874</v>
      </c>
    </row>
    <row r="220" spans="1:7" x14ac:dyDescent="0.3">
      <c r="A220" s="2">
        <v>44601</v>
      </c>
      <c r="B220" s="1">
        <v>4078.6999510000001</v>
      </c>
      <c r="C220" s="1">
        <v>4078.6999510000001</v>
      </c>
      <c r="D220" s="1">
        <v>3983</v>
      </c>
      <c r="E220" s="1">
        <v>4002.1000979999999</v>
      </c>
      <c r="F220" s="1">
        <v>4002.1000979999999</v>
      </c>
      <c r="G220" s="1">
        <v>380364</v>
      </c>
    </row>
    <row r="221" spans="1:7" x14ac:dyDescent="0.3">
      <c r="A221" s="2">
        <v>44602</v>
      </c>
      <c r="B221" s="1">
        <v>4034.1000979999999</v>
      </c>
      <c r="C221" s="1">
        <v>4182</v>
      </c>
      <c r="D221" s="1">
        <v>4001</v>
      </c>
      <c r="E221" s="1">
        <v>4162.7001950000003</v>
      </c>
      <c r="F221" s="1">
        <v>4162.7001950000003</v>
      </c>
      <c r="G221" s="1">
        <v>699250</v>
      </c>
    </row>
    <row r="222" spans="1:7" x14ac:dyDescent="0.3">
      <c r="A222" s="2">
        <v>44603</v>
      </c>
      <c r="B222" s="1">
        <v>4138</v>
      </c>
      <c r="C222" s="1">
        <v>4157</v>
      </c>
      <c r="D222" s="1">
        <v>4080.1000979999999</v>
      </c>
      <c r="E222" s="1">
        <v>4142.25</v>
      </c>
      <c r="F222" s="1">
        <v>4142.25</v>
      </c>
      <c r="G222" s="1">
        <v>336884</v>
      </c>
    </row>
    <row r="223" spans="1:7" x14ac:dyDescent="0.3">
      <c r="A223" s="2">
        <v>44606</v>
      </c>
      <c r="B223" s="1">
        <v>4015</v>
      </c>
      <c r="C223" s="1">
        <v>4125</v>
      </c>
      <c r="D223" s="1">
        <v>3958.0500489999999</v>
      </c>
      <c r="E223" s="1">
        <v>3979.75</v>
      </c>
      <c r="F223" s="1">
        <v>3979.75</v>
      </c>
      <c r="G223" s="1">
        <v>466101</v>
      </c>
    </row>
    <row r="224" spans="1:7" x14ac:dyDescent="0.3">
      <c r="A224" s="2">
        <v>44607</v>
      </c>
      <c r="B224" s="1">
        <v>4015</v>
      </c>
      <c r="C224" s="1">
        <v>4128.8999020000001</v>
      </c>
      <c r="D224" s="1">
        <v>3980</v>
      </c>
      <c r="E224" s="1">
        <v>4081.75</v>
      </c>
      <c r="F224" s="1">
        <v>4081.75</v>
      </c>
      <c r="G224" s="1">
        <v>377212</v>
      </c>
    </row>
    <row r="225" spans="1:7" x14ac:dyDescent="0.3">
      <c r="A225" s="2">
        <v>44608</v>
      </c>
      <c r="B225" s="1">
        <v>4139.8999020000001</v>
      </c>
      <c r="C225" s="1">
        <v>4155</v>
      </c>
      <c r="D225" s="1">
        <v>4035</v>
      </c>
      <c r="E225" s="1">
        <v>4051.1499020000001</v>
      </c>
      <c r="F225" s="1">
        <v>4051.1499020000001</v>
      </c>
      <c r="G225" s="1">
        <v>313236</v>
      </c>
    </row>
    <row r="226" spans="1:7" x14ac:dyDescent="0.3">
      <c r="A226" s="2">
        <v>44609</v>
      </c>
      <c r="B226" s="1">
        <v>4095.6000979999999</v>
      </c>
      <c r="C226" s="1">
        <v>4152</v>
      </c>
      <c r="D226" s="1">
        <v>4080</v>
      </c>
      <c r="E226" s="1">
        <v>4115.3999020000001</v>
      </c>
      <c r="F226" s="1">
        <v>4115.3999020000001</v>
      </c>
      <c r="G226" s="1">
        <v>357259</v>
      </c>
    </row>
    <row r="227" spans="1:7" x14ac:dyDescent="0.3">
      <c r="A227" s="2">
        <v>44610</v>
      </c>
      <c r="B227" s="1">
        <v>4098</v>
      </c>
      <c r="C227" s="1">
        <v>4121</v>
      </c>
      <c r="D227" s="1">
        <v>4056.0500489999999</v>
      </c>
      <c r="E227" s="1">
        <v>4073.1000979999999</v>
      </c>
      <c r="F227" s="1">
        <v>4073.1000979999999</v>
      </c>
      <c r="G227" s="1">
        <v>169496</v>
      </c>
    </row>
    <row r="228" spans="1:7" x14ac:dyDescent="0.3">
      <c r="A228" s="2">
        <v>44613</v>
      </c>
      <c r="B228" s="1">
        <v>4048</v>
      </c>
      <c r="C228" s="1">
        <v>4170</v>
      </c>
      <c r="D228" s="1">
        <v>3990</v>
      </c>
      <c r="E228" s="1">
        <v>4096.6000979999999</v>
      </c>
      <c r="F228" s="1">
        <v>4096.6000979999999</v>
      </c>
      <c r="G228" s="1">
        <v>480541</v>
      </c>
    </row>
    <row r="229" spans="1:7" x14ac:dyDescent="0.3">
      <c r="A229" s="2">
        <v>44614</v>
      </c>
      <c r="B229" s="1">
        <v>4001</v>
      </c>
      <c r="C229" s="1">
        <v>4179</v>
      </c>
      <c r="D229" s="1">
        <v>3990</v>
      </c>
      <c r="E229" s="1">
        <v>4157.1000979999999</v>
      </c>
      <c r="F229" s="1">
        <v>4157.1000979999999</v>
      </c>
      <c r="G229" s="1">
        <v>484781</v>
      </c>
    </row>
    <row r="230" spans="1:7" x14ac:dyDescent="0.3">
      <c r="A230" s="2">
        <v>44615</v>
      </c>
      <c r="B230" s="1">
        <v>4165</v>
      </c>
      <c r="C230" s="1">
        <v>4217.7001950000003</v>
      </c>
      <c r="D230" s="1">
        <v>4135</v>
      </c>
      <c r="E230" s="1">
        <v>4193.4501950000003</v>
      </c>
      <c r="F230" s="1">
        <v>4193.4501950000003</v>
      </c>
      <c r="G230" s="1">
        <v>360454</v>
      </c>
    </row>
    <row r="231" spans="1:7" x14ac:dyDescent="0.3">
      <c r="A231" s="2">
        <v>44616</v>
      </c>
      <c r="B231" s="1">
        <v>3993.8500979999999</v>
      </c>
      <c r="C231" s="1">
        <v>4131.9501950000003</v>
      </c>
      <c r="D231" s="1">
        <v>3947.8500979999999</v>
      </c>
      <c r="E231" s="1">
        <v>4014.6499020000001</v>
      </c>
      <c r="F231" s="1">
        <v>4014.6499020000001</v>
      </c>
      <c r="G231" s="1">
        <v>552288</v>
      </c>
    </row>
    <row r="232" spans="1:7" x14ac:dyDescent="0.3">
      <c r="A232" s="2">
        <v>44617</v>
      </c>
      <c r="B232" s="1">
        <v>4080</v>
      </c>
      <c r="C232" s="1">
        <v>4210</v>
      </c>
      <c r="D232" s="1">
        <v>4037.6499020000001</v>
      </c>
      <c r="E232" s="1">
        <v>4190.75</v>
      </c>
      <c r="F232" s="1">
        <v>4190.75</v>
      </c>
      <c r="G232" s="1">
        <v>425226</v>
      </c>
    </row>
    <row r="233" spans="1:7" x14ac:dyDescent="0.3">
      <c r="A233" s="2">
        <v>44620</v>
      </c>
      <c r="B233" s="1">
        <v>4155</v>
      </c>
      <c r="C233" s="1">
        <v>4355</v>
      </c>
      <c r="D233" s="1">
        <v>4062.1000979999999</v>
      </c>
      <c r="E233" s="1">
        <v>4340.3500979999999</v>
      </c>
      <c r="F233" s="1">
        <v>4340.3500979999999</v>
      </c>
      <c r="G233" s="1">
        <v>647569</v>
      </c>
    </row>
    <row r="234" spans="1:7" x14ac:dyDescent="0.3">
      <c r="A234" s="2">
        <v>44622</v>
      </c>
      <c r="B234" s="1">
        <v>4299.9501950000003</v>
      </c>
      <c r="C234" s="1">
        <v>4446.9501950000003</v>
      </c>
      <c r="D234" s="1">
        <v>4270</v>
      </c>
      <c r="E234" s="1">
        <v>4295.1499020000001</v>
      </c>
      <c r="F234" s="1">
        <v>4295.1499020000001</v>
      </c>
      <c r="G234" s="1">
        <v>479507</v>
      </c>
    </row>
    <row r="235" spans="1:7" x14ac:dyDescent="0.3">
      <c r="A235" s="2">
        <v>44623</v>
      </c>
      <c r="B235" s="1">
        <v>4370</v>
      </c>
      <c r="C235" s="1">
        <v>4395</v>
      </c>
      <c r="D235" s="1">
        <v>4253.8999020000001</v>
      </c>
      <c r="E235" s="1">
        <v>4276.5</v>
      </c>
      <c r="F235" s="1">
        <v>4276.5</v>
      </c>
      <c r="G235" s="1">
        <v>303425</v>
      </c>
    </row>
    <row r="236" spans="1:7" x14ac:dyDescent="0.3">
      <c r="A236" s="2">
        <v>44624</v>
      </c>
      <c r="B236" s="1">
        <v>4260.2001950000003</v>
      </c>
      <c r="C236" s="1">
        <v>4260.2001950000003</v>
      </c>
      <c r="D236" s="1">
        <v>4075.0500489999999</v>
      </c>
      <c r="E236" s="1">
        <v>4110.2001950000003</v>
      </c>
      <c r="F236" s="1">
        <v>4110.2001950000003</v>
      </c>
      <c r="G236" s="1">
        <v>437691</v>
      </c>
    </row>
    <row r="237" spans="1:7" x14ac:dyDescent="0.3">
      <c r="A237" s="2">
        <v>44627</v>
      </c>
      <c r="B237" s="1">
        <v>4001</v>
      </c>
      <c r="C237" s="1">
        <v>4175</v>
      </c>
      <c r="D237" s="1">
        <v>3970.8000489999999</v>
      </c>
      <c r="E237" s="1">
        <v>3991.6499020000001</v>
      </c>
      <c r="F237" s="1">
        <v>3991.6499020000001</v>
      </c>
      <c r="G237" s="1">
        <v>694633</v>
      </c>
    </row>
    <row r="238" spans="1:7" x14ac:dyDescent="0.3">
      <c r="A238" s="2">
        <v>44628</v>
      </c>
      <c r="B238" s="1">
        <v>4016</v>
      </c>
      <c r="C238" s="1">
        <v>4160</v>
      </c>
      <c r="D238" s="1">
        <v>3992.3999020000001</v>
      </c>
      <c r="E238" s="1">
        <v>4124</v>
      </c>
      <c r="F238" s="1">
        <v>4124</v>
      </c>
      <c r="G238" s="1">
        <v>713004</v>
      </c>
    </row>
    <row r="239" spans="1:7" x14ac:dyDescent="0.3">
      <c r="A239" s="2">
        <v>44629</v>
      </c>
      <c r="B239" s="1">
        <v>4155</v>
      </c>
      <c r="C239" s="1">
        <v>4172.8999020000001</v>
      </c>
      <c r="D239" s="1">
        <v>4071.1000979999999</v>
      </c>
      <c r="E239" s="1">
        <v>4096.7001950000003</v>
      </c>
      <c r="F239" s="1">
        <v>4096.7001950000003</v>
      </c>
      <c r="G239" s="1">
        <v>395071</v>
      </c>
    </row>
    <row r="240" spans="1:7" x14ac:dyDescent="0.3">
      <c r="A240" s="2">
        <v>44630</v>
      </c>
      <c r="B240" s="1">
        <v>4210</v>
      </c>
      <c r="C240" s="1">
        <v>4239.8999020000001</v>
      </c>
      <c r="D240" s="1">
        <v>4142.2998049999997</v>
      </c>
      <c r="E240" s="1">
        <v>4168.6000979999999</v>
      </c>
      <c r="F240" s="1">
        <v>4168.6000979999999</v>
      </c>
      <c r="G240" s="1">
        <v>439778</v>
      </c>
    </row>
    <row r="241" spans="1:7" x14ac:dyDescent="0.3">
      <c r="A241" s="2">
        <v>44631</v>
      </c>
      <c r="B241" s="1">
        <v>4167</v>
      </c>
      <c r="C241" s="1">
        <v>4210</v>
      </c>
      <c r="D241" s="1">
        <v>4109.25</v>
      </c>
      <c r="E241" s="1">
        <v>4198.9501950000003</v>
      </c>
      <c r="F241" s="1">
        <v>4198.9501950000003</v>
      </c>
      <c r="G241" s="1">
        <v>387534</v>
      </c>
    </row>
    <row r="242" spans="1:7" x14ac:dyDescent="0.3">
      <c r="A242" s="2">
        <v>44634</v>
      </c>
      <c r="B242" s="1">
        <v>4190</v>
      </c>
      <c r="C242" s="1">
        <v>4218</v>
      </c>
      <c r="D242" s="1">
        <v>4150</v>
      </c>
      <c r="E242" s="1">
        <v>4168.25</v>
      </c>
      <c r="F242" s="1">
        <v>4168.25</v>
      </c>
      <c r="G242" s="1">
        <v>305326</v>
      </c>
    </row>
    <row r="243" spans="1:7" x14ac:dyDescent="0.3">
      <c r="A243" s="2">
        <v>44635</v>
      </c>
      <c r="B243" s="1">
        <v>4191</v>
      </c>
      <c r="C243" s="1">
        <v>4251</v>
      </c>
      <c r="D243" s="1">
        <v>4171.75</v>
      </c>
      <c r="E243" s="1">
        <v>4231.0498049999997</v>
      </c>
      <c r="F243" s="1">
        <v>4231.0498049999997</v>
      </c>
      <c r="G243" s="1">
        <v>560819</v>
      </c>
    </row>
    <row r="244" spans="1:7" x14ac:dyDescent="0.3">
      <c r="A244" s="2">
        <v>44636</v>
      </c>
      <c r="B244" s="1">
        <v>4229.75</v>
      </c>
      <c r="C244" s="1">
        <v>4243.6000979999999</v>
      </c>
      <c r="D244" s="1">
        <v>4153</v>
      </c>
      <c r="E244" s="1">
        <v>4169.5498049999997</v>
      </c>
      <c r="F244" s="1">
        <v>4169.5498049999997</v>
      </c>
      <c r="G244" s="1">
        <v>470355</v>
      </c>
    </row>
    <row r="245" spans="1:7" x14ac:dyDescent="0.3">
      <c r="A245" s="2">
        <v>44637</v>
      </c>
      <c r="B245" s="1">
        <v>4218</v>
      </c>
      <c r="C245" s="1">
        <v>4239</v>
      </c>
      <c r="D245" s="1">
        <v>4166.1000979999999</v>
      </c>
      <c r="E245" s="1">
        <v>4192.75</v>
      </c>
      <c r="F245" s="1">
        <v>4192.75</v>
      </c>
      <c r="G245" s="1">
        <v>608024</v>
      </c>
    </row>
    <row r="246" spans="1:7" x14ac:dyDescent="0.3">
      <c r="A246" s="2">
        <v>44641</v>
      </c>
      <c r="B246" s="1">
        <v>4217</v>
      </c>
      <c r="C246" s="1">
        <v>4217</v>
      </c>
      <c r="D246" s="1">
        <v>4080.6000979999999</v>
      </c>
      <c r="E246" s="1">
        <v>4095.1999510000001</v>
      </c>
      <c r="F246" s="1">
        <v>4095.1999510000001</v>
      </c>
      <c r="G246" s="1">
        <v>370641</v>
      </c>
    </row>
    <row r="247" spans="1:7" x14ac:dyDescent="0.3">
      <c r="A247" s="2">
        <v>44642</v>
      </c>
      <c r="B247" s="1">
        <v>4129</v>
      </c>
      <c r="C247" s="1">
        <v>4129</v>
      </c>
      <c r="D247" s="1">
        <v>4031</v>
      </c>
      <c r="E247" s="1">
        <v>4054</v>
      </c>
      <c r="F247" s="1">
        <v>4054</v>
      </c>
      <c r="G247" s="1">
        <v>396898</v>
      </c>
    </row>
    <row r="248" spans="1:7" x14ac:dyDescent="0.3">
      <c r="A248" s="2">
        <v>44643</v>
      </c>
      <c r="B248" s="1">
        <v>4085.6999510000001</v>
      </c>
      <c r="C248" s="1">
        <v>4119</v>
      </c>
      <c r="D248" s="1">
        <v>4064.6000979999999</v>
      </c>
      <c r="E248" s="1">
        <v>4091.3500979999999</v>
      </c>
      <c r="F248" s="1">
        <v>4091.3500979999999</v>
      </c>
      <c r="G248" s="1">
        <v>285639</v>
      </c>
    </row>
    <row r="249" spans="1:7" x14ac:dyDescent="0.3">
      <c r="A249" s="2">
        <v>44644</v>
      </c>
      <c r="B249" s="1">
        <v>4086.25</v>
      </c>
      <c r="C249" s="1">
        <v>4086.25</v>
      </c>
      <c r="D249" s="1">
        <v>4031.5500489999999</v>
      </c>
      <c r="E249" s="1">
        <v>4042.8500979999999</v>
      </c>
      <c r="F249" s="1">
        <v>4042.8500979999999</v>
      </c>
      <c r="G249" s="1">
        <v>374534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F137-23ED-4FF6-AEF3-7BB0E4C825AC}">
  <dimension ref="A1:G249"/>
  <sheetViews>
    <sheetView workbookViewId="0">
      <selection activeCell="K26" sqref="K26"/>
    </sheetView>
  </sheetViews>
  <sheetFormatPr defaultRowHeight="14.4" x14ac:dyDescent="0.3"/>
  <cols>
    <col min="1" max="1" width="18.88671875" style="1" customWidth="1"/>
    <col min="2" max="2" width="17.33203125" style="1" customWidth="1"/>
    <col min="3" max="3" width="17.21875" style="1" customWidth="1"/>
    <col min="4" max="4" width="17" style="1" customWidth="1"/>
    <col min="5" max="5" width="18.88671875" style="1" customWidth="1"/>
    <col min="6" max="6" width="21" style="1" customWidth="1"/>
    <col min="7" max="7" width="19.5546875" style="1" customWidth="1"/>
    <col min="8" max="8" width="4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44279</v>
      </c>
      <c r="B2" s="1">
        <v>2410.3000489999999</v>
      </c>
      <c r="C2" s="1">
        <v>2470</v>
      </c>
      <c r="D2" s="1">
        <v>2410</v>
      </c>
      <c r="E2" s="1">
        <v>2443.5500489999999</v>
      </c>
      <c r="F2" s="1">
        <v>2428.6452640000002</v>
      </c>
      <c r="G2" s="1">
        <v>4132092</v>
      </c>
    </row>
    <row r="3" spans="1:7" x14ac:dyDescent="0.3">
      <c r="A3" s="2">
        <v>44280</v>
      </c>
      <c r="B3" s="1">
        <v>2450.9499510000001</v>
      </c>
      <c r="C3" s="1">
        <v>2469</v>
      </c>
      <c r="D3" s="1">
        <v>2392</v>
      </c>
      <c r="E3" s="1">
        <v>2402.1999510000001</v>
      </c>
      <c r="F3" s="1">
        <v>2387.5473630000001</v>
      </c>
      <c r="G3" s="1">
        <v>2272545</v>
      </c>
    </row>
    <row r="4" spans="1:7" x14ac:dyDescent="0.3">
      <c r="A4" s="2">
        <v>44281</v>
      </c>
      <c r="B4" s="1">
        <v>2425</v>
      </c>
      <c r="C4" s="1">
        <v>2513.9499510000001</v>
      </c>
      <c r="D4" s="1">
        <v>2409.1000979999999</v>
      </c>
      <c r="E4" s="1">
        <v>2505.1499020000001</v>
      </c>
      <c r="F4" s="1">
        <v>2489.8691410000001</v>
      </c>
      <c r="G4" s="1">
        <v>3084607</v>
      </c>
    </row>
    <row r="5" spans="1:7" x14ac:dyDescent="0.3">
      <c r="A5" s="2">
        <v>44285</v>
      </c>
      <c r="B5" s="1">
        <v>2539.1000979999999</v>
      </c>
      <c r="C5" s="1">
        <v>2583.4499510000001</v>
      </c>
      <c r="D5" s="1">
        <v>2521.5</v>
      </c>
      <c r="E5" s="1">
        <v>2578.0500489999999</v>
      </c>
      <c r="F5" s="1">
        <v>2562.3247070000002</v>
      </c>
      <c r="G5" s="1">
        <v>2332884</v>
      </c>
    </row>
    <row r="6" spans="1:7" x14ac:dyDescent="0.3">
      <c r="A6" s="2">
        <v>44286</v>
      </c>
      <c r="B6" s="1">
        <v>2578.0500489999999</v>
      </c>
      <c r="C6" s="1">
        <v>2582.9499510000001</v>
      </c>
      <c r="D6" s="1">
        <v>2531</v>
      </c>
      <c r="E6" s="1">
        <v>2537.3999020000001</v>
      </c>
      <c r="F6" s="1">
        <v>2521.922607</v>
      </c>
      <c r="G6" s="1">
        <v>1616044</v>
      </c>
    </row>
    <row r="7" spans="1:7" x14ac:dyDescent="0.3">
      <c r="A7" s="2">
        <v>44287</v>
      </c>
      <c r="B7" s="1">
        <v>2532</v>
      </c>
      <c r="C7" s="1">
        <v>2564.5500489999999</v>
      </c>
      <c r="D7" s="1">
        <v>2532</v>
      </c>
      <c r="E7" s="1">
        <v>2551.75</v>
      </c>
      <c r="F7" s="1">
        <v>2536.1850589999999</v>
      </c>
      <c r="G7" s="1">
        <v>1219588</v>
      </c>
    </row>
    <row r="8" spans="1:7" x14ac:dyDescent="0.3">
      <c r="A8" s="2">
        <v>44291</v>
      </c>
      <c r="B8" s="1">
        <v>2558</v>
      </c>
      <c r="C8" s="1">
        <v>2558</v>
      </c>
      <c r="D8" s="1">
        <v>2484.5</v>
      </c>
      <c r="E8" s="1">
        <v>2510.6499020000001</v>
      </c>
      <c r="F8" s="1">
        <v>2495.335693</v>
      </c>
      <c r="G8" s="1">
        <v>1268939</v>
      </c>
    </row>
    <row r="9" spans="1:7" x14ac:dyDescent="0.3">
      <c r="A9" s="2">
        <v>44292</v>
      </c>
      <c r="B9" s="1">
        <v>2526</v>
      </c>
      <c r="C9" s="1">
        <v>2620</v>
      </c>
      <c r="D9" s="1">
        <v>2504.5</v>
      </c>
      <c r="E9" s="1">
        <v>2611.6000979999999</v>
      </c>
      <c r="F9" s="1">
        <v>2595.6701659999999</v>
      </c>
      <c r="G9" s="1">
        <v>3372846</v>
      </c>
    </row>
    <row r="10" spans="1:7" x14ac:dyDescent="0.3">
      <c r="A10" s="2">
        <v>44293</v>
      </c>
      <c r="B10" s="1">
        <v>2605</v>
      </c>
      <c r="C10" s="1">
        <v>2668.0500489999999</v>
      </c>
      <c r="D10" s="1">
        <v>2600.1000979999999</v>
      </c>
      <c r="E10" s="1">
        <v>2628.6000979999999</v>
      </c>
      <c r="F10" s="1">
        <v>2612.5664059999999</v>
      </c>
      <c r="G10" s="1">
        <v>1937977</v>
      </c>
    </row>
    <row r="11" spans="1:7" x14ac:dyDescent="0.3">
      <c r="A11" s="2">
        <v>44294</v>
      </c>
      <c r="B11" s="1">
        <v>2630</v>
      </c>
      <c r="C11" s="1">
        <v>2658.3999020000001</v>
      </c>
      <c r="D11" s="1">
        <v>2628</v>
      </c>
      <c r="E11" s="1">
        <v>2650.6499020000001</v>
      </c>
      <c r="F11" s="1">
        <v>2634.4819339999999</v>
      </c>
      <c r="G11" s="1">
        <v>897483</v>
      </c>
    </row>
    <row r="12" spans="1:7" x14ac:dyDescent="0.3">
      <c r="A12" s="2">
        <v>44295</v>
      </c>
      <c r="B12" s="1">
        <v>2635</v>
      </c>
      <c r="C12" s="1">
        <v>2655</v>
      </c>
      <c r="D12" s="1">
        <v>2610.1499020000001</v>
      </c>
      <c r="E12" s="1">
        <v>2630.8000489999999</v>
      </c>
      <c r="F12" s="1">
        <v>2614.7529300000001</v>
      </c>
      <c r="G12" s="1">
        <v>1185017</v>
      </c>
    </row>
    <row r="13" spans="1:7" x14ac:dyDescent="0.3">
      <c r="A13" s="2">
        <v>44298</v>
      </c>
      <c r="B13" s="1">
        <v>2578.1999510000001</v>
      </c>
      <c r="C13" s="1">
        <v>2610</v>
      </c>
      <c r="D13" s="1">
        <v>2555</v>
      </c>
      <c r="E13" s="1">
        <v>2602.1999510000001</v>
      </c>
      <c r="F13" s="1">
        <v>2586.327393</v>
      </c>
      <c r="G13" s="1">
        <v>1427691</v>
      </c>
    </row>
    <row r="14" spans="1:7" x14ac:dyDescent="0.3">
      <c r="A14" s="2">
        <v>44299</v>
      </c>
      <c r="B14" s="1">
        <v>2600</v>
      </c>
      <c r="C14" s="1">
        <v>2626</v>
      </c>
      <c r="D14" s="1">
        <v>2564.3000489999999</v>
      </c>
      <c r="E14" s="1">
        <v>2570.6999510000001</v>
      </c>
      <c r="F14" s="1">
        <v>2555.0195309999999</v>
      </c>
      <c r="G14" s="1">
        <v>1200230</v>
      </c>
    </row>
    <row r="15" spans="1:7" x14ac:dyDescent="0.3">
      <c r="A15" s="2">
        <v>44301</v>
      </c>
      <c r="B15" s="1">
        <v>2590</v>
      </c>
      <c r="C15" s="1">
        <v>2593.5500489999999</v>
      </c>
      <c r="D15" s="1">
        <v>2537</v>
      </c>
      <c r="E15" s="1">
        <v>2587.6999510000001</v>
      </c>
      <c r="F15" s="1">
        <v>2571.9160160000001</v>
      </c>
      <c r="G15" s="1">
        <v>1209829</v>
      </c>
    </row>
    <row r="16" spans="1:7" x14ac:dyDescent="0.3">
      <c r="A16" s="2">
        <v>44302</v>
      </c>
      <c r="B16" s="1">
        <v>2587.6000979999999</v>
      </c>
      <c r="C16" s="1">
        <v>2693.5</v>
      </c>
      <c r="D16" s="1">
        <v>2581.6999510000001</v>
      </c>
      <c r="E16" s="1">
        <v>2663.6999510000001</v>
      </c>
      <c r="F16" s="1">
        <v>2647.452393</v>
      </c>
      <c r="G16" s="1">
        <v>2760777</v>
      </c>
    </row>
    <row r="17" spans="1:7" x14ac:dyDescent="0.3">
      <c r="A17" s="2">
        <v>44305</v>
      </c>
      <c r="B17" s="1">
        <v>2650</v>
      </c>
      <c r="C17" s="1">
        <v>2650</v>
      </c>
      <c r="D17" s="1">
        <v>2566.8500979999999</v>
      </c>
      <c r="E17" s="1">
        <v>2571.8999020000001</v>
      </c>
      <c r="F17" s="1">
        <v>2556.2121579999998</v>
      </c>
      <c r="G17" s="1">
        <v>1552036</v>
      </c>
    </row>
    <row r="18" spans="1:7" x14ac:dyDescent="0.3">
      <c r="A18" s="2">
        <v>44306</v>
      </c>
      <c r="B18" s="1">
        <v>2600</v>
      </c>
      <c r="C18" s="1">
        <v>2604.6999510000001</v>
      </c>
      <c r="D18" s="1">
        <v>2528.8000489999999</v>
      </c>
      <c r="E18" s="1">
        <v>2553.6499020000001</v>
      </c>
      <c r="F18" s="1">
        <v>2538.0734859999998</v>
      </c>
      <c r="G18" s="1">
        <v>1489287</v>
      </c>
    </row>
    <row r="19" spans="1:7" x14ac:dyDescent="0.3">
      <c r="A19" s="2">
        <v>44308</v>
      </c>
      <c r="B19" s="1">
        <v>2555.6499020000001</v>
      </c>
      <c r="C19" s="1">
        <v>2557</v>
      </c>
      <c r="D19" s="1">
        <v>2488</v>
      </c>
      <c r="E19" s="1">
        <v>2511.25</v>
      </c>
      <c r="F19" s="1">
        <v>2495.9321289999998</v>
      </c>
      <c r="G19" s="1">
        <v>1690758</v>
      </c>
    </row>
    <row r="20" spans="1:7" x14ac:dyDescent="0.3">
      <c r="A20" s="2">
        <v>44309</v>
      </c>
      <c r="B20" s="1">
        <v>2527.1000979999999</v>
      </c>
      <c r="C20" s="1">
        <v>2565</v>
      </c>
      <c r="D20" s="1">
        <v>2496.1999510000001</v>
      </c>
      <c r="E20" s="1">
        <v>2517.9499510000001</v>
      </c>
      <c r="F20" s="1">
        <v>2502.5913089999999</v>
      </c>
      <c r="G20" s="1">
        <v>1614593</v>
      </c>
    </row>
    <row r="21" spans="1:7" x14ac:dyDescent="0.3">
      <c r="A21" s="2">
        <v>44312</v>
      </c>
      <c r="B21" s="1">
        <v>2530</v>
      </c>
      <c r="C21" s="1">
        <v>2575</v>
      </c>
      <c r="D21" s="1">
        <v>2530</v>
      </c>
      <c r="E21" s="1">
        <v>2557.8999020000001</v>
      </c>
      <c r="F21" s="1">
        <v>2542.297607</v>
      </c>
      <c r="G21" s="1">
        <v>1103980</v>
      </c>
    </row>
    <row r="22" spans="1:7" x14ac:dyDescent="0.3">
      <c r="A22" s="2">
        <v>44313</v>
      </c>
      <c r="B22" s="1">
        <v>2545</v>
      </c>
      <c r="C22" s="1">
        <v>2579.8999020000001</v>
      </c>
      <c r="D22" s="1">
        <v>2534</v>
      </c>
      <c r="E22" s="1">
        <v>2574.3500979999999</v>
      </c>
      <c r="F22" s="1">
        <v>2558.647461</v>
      </c>
      <c r="G22" s="1">
        <v>866331</v>
      </c>
    </row>
    <row r="23" spans="1:7" x14ac:dyDescent="0.3">
      <c r="A23" s="2">
        <v>44314</v>
      </c>
      <c r="B23" s="1">
        <v>2588</v>
      </c>
      <c r="C23" s="1">
        <v>2620.25</v>
      </c>
      <c r="D23" s="1">
        <v>2575</v>
      </c>
      <c r="E23" s="1">
        <v>2614.5500489999999</v>
      </c>
      <c r="F23" s="1">
        <v>2598.6020509999998</v>
      </c>
      <c r="G23" s="1">
        <v>1065561</v>
      </c>
    </row>
    <row r="24" spans="1:7" x14ac:dyDescent="0.3">
      <c r="A24" s="2">
        <v>44315</v>
      </c>
      <c r="B24" s="1">
        <v>2630</v>
      </c>
      <c r="C24" s="1">
        <v>2642</v>
      </c>
      <c r="D24" s="1">
        <v>2570</v>
      </c>
      <c r="E24" s="1">
        <v>2613.4499510000001</v>
      </c>
      <c r="F24" s="1">
        <v>2597.508789</v>
      </c>
      <c r="G24" s="1">
        <v>1295346</v>
      </c>
    </row>
    <row r="25" spans="1:7" x14ac:dyDescent="0.3">
      <c r="A25" s="2">
        <v>44316</v>
      </c>
      <c r="B25" s="1">
        <v>2595</v>
      </c>
      <c r="C25" s="1">
        <v>2605.8000489999999</v>
      </c>
      <c r="D25" s="1">
        <v>2524.0500489999999</v>
      </c>
      <c r="E25" s="1">
        <v>2536.3999020000001</v>
      </c>
      <c r="F25" s="1">
        <v>2520.928711</v>
      </c>
      <c r="G25" s="1">
        <v>1384907</v>
      </c>
    </row>
    <row r="26" spans="1:7" x14ac:dyDescent="0.3">
      <c r="A26" s="2">
        <v>44319</v>
      </c>
      <c r="B26" s="1">
        <v>2510</v>
      </c>
      <c r="C26" s="1">
        <v>2595.1000979999999</v>
      </c>
      <c r="D26" s="1">
        <v>2505.6000979999999</v>
      </c>
      <c r="E26" s="1">
        <v>2582.1499020000001</v>
      </c>
      <c r="F26" s="1">
        <v>2566.399414</v>
      </c>
      <c r="G26" s="1">
        <v>1034774</v>
      </c>
    </row>
    <row r="27" spans="1:7" x14ac:dyDescent="0.3">
      <c r="A27" s="2">
        <v>44320</v>
      </c>
      <c r="B27" s="1">
        <v>2605</v>
      </c>
      <c r="C27" s="1">
        <v>2617.9499510000001</v>
      </c>
      <c r="D27" s="1">
        <v>2571.5500489999999</v>
      </c>
      <c r="E27" s="1">
        <v>2587.1499020000001</v>
      </c>
      <c r="F27" s="1">
        <v>2571.3691410000001</v>
      </c>
      <c r="G27" s="1">
        <v>1058140</v>
      </c>
    </row>
    <row r="28" spans="1:7" x14ac:dyDescent="0.3">
      <c r="A28" s="2">
        <v>44321</v>
      </c>
      <c r="B28" s="1">
        <v>2617</v>
      </c>
      <c r="C28" s="1">
        <v>2617</v>
      </c>
      <c r="D28" s="1">
        <v>2546.1000979999999</v>
      </c>
      <c r="E28" s="1">
        <v>2567.6499020000001</v>
      </c>
      <c r="F28" s="1">
        <v>2551.9882809999999</v>
      </c>
      <c r="G28" s="1">
        <v>1220186</v>
      </c>
    </row>
    <row r="29" spans="1:7" x14ac:dyDescent="0.3">
      <c r="A29" s="2">
        <v>44322</v>
      </c>
      <c r="B29" s="1">
        <v>2579.8500979999999</v>
      </c>
      <c r="C29" s="1">
        <v>2581.8500979999999</v>
      </c>
      <c r="D29" s="1">
        <v>2528</v>
      </c>
      <c r="E29" s="1">
        <v>2549.0500489999999</v>
      </c>
      <c r="F29" s="1">
        <v>2533.5014649999998</v>
      </c>
      <c r="G29" s="1">
        <v>1518119</v>
      </c>
    </row>
    <row r="30" spans="1:7" x14ac:dyDescent="0.3">
      <c r="A30" s="2">
        <v>44323</v>
      </c>
      <c r="B30" s="1">
        <v>2555</v>
      </c>
      <c r="C30" s="1">
        <v>2590</v>
      </c>
      <c r="D30" s="1">
        <v>2541.5</v>
      </c>
      <c r="E30" s="1">
        <v>2551.6499020000001</v>
      </c>
      <c r="F30" s="1">
        <v>2536.085693</v>
      </c>
      <c r="G30" s="1">
        <v>1416102</v>
      </c>
    </row>
    <row r="31" spans="1:7" x14ac:dyDescent="0.3">
      <c r="A31" s="2">
        <v>44326</v>
      </c>
      <c r="B31" s="1">
        <v>2589</v>
      </c>
      <c r="C31" s="1">
        <v>2589</v>
      </c>
      <c r="D31" s="1">
        <v>2542.1499020000001</v>
      </c>
      <c r="E31" s="1">
        <v>2556.9499510000001</v>
      </c>
      <c r="F31" s="1">
        <v>2541.3532709999999</v>
      </c>
      <c r="G31" s="1">
        <v>1526814</v>
      </c>
    </row>
    <row r="32" spans="1:7" x14ac:dyDescent="0.3">
      <c r="A32" s="2">
        <v>44327</v>
      </c>
      <c r="B32" s="1">
        <v>2533</v>
      </c>
      <c r="C32" s="1">
        <v>2562</v>
      </c>
      <c r="D32" s="1">
        <v>2521.3000489999999</v>
      </c>
      <c r="E32" s="1">
        <v>2556.25</v>
      </c>
      <c r="F32" s="1">
        <v>2540.6577149999998</v>
      </c>
      <c r="G32" s="1">
        <v>1168363</v>
      </c>
    </row>
    <row r="33" spans="1:7" x14ac:dyDescent="0.3">
      <c r="A33" s="2">
        <v>44328</v>
      </c>
      <c r="B33" s="1">
        <v>2577</v>
      </c>
      <c r="C33" s="1">
        <v>2588.9499510000001</v>
      </c>
      <c r="D33" s="1">
        <v>2530</v>
      </c>
      <c r="E33" s="1">
        <v>2556.1999510000001</v>
      </c>
      <c r="F33" s="1">
        <v>2540.6079100000002</v>
      </c>
      <c r="G33" s="1">
        <v>2085630</v>
      </c>
    </row>
    <row r="34" spans="1:7" x14ac:dyDescent="0.3">
      <c r="A34" s="2">
        <v>44330</v>
      </c>
      <c r="B34" s="1">
        <v>2620</v>
      </c>
      <c r="C34" s="1">
        <v>2835.25</v>
      </c>
      <c r="D34" s="1">
        <v>2601.5500489999999</v>
      </c>
      <c r="E34" s="1">
        <v>2774.5</v>
      </c>
      <c r="F34" s="1">
        <v>2757.5764159999999</v>
      </c>
      <c r="G34" s="1">
        <v>10543708</v>
      </c>
    </row>
    <row r="35" spans="1:7" x14ac:dyDescent="0.3">
      <c r="A35" s="2">
        <v>44333</v>
      </c>
      <c r="B35" s="1">
        <v>2782</v>
      </c>
      <c r="C35" s="1">
        <v>2824.1999510000001</v>
      </c>
      <c r="D35" s="1">
        <v>2747.5500489999999</v>
      </c>
      <c r="E35" s="1">
        <v>2782.75</v>
      </c>
      <c r="F35" s="1">
        <v>2765.7761230000001</v>
      </c>
      <c r="G35" s="1">
        <v>2134352</v>
      </c>
    </row>
    <row r="36" spans="1:7" x14ac:dyDescent="0.3">
      <c r="A36" s="2">
        <v>44334</v>
      </c>
      <c r="B36" s="1">
        <v>2797</v>
      </c>
      <c r="C36" s="1">
        <v>2845</v>
      </c>
      <c r="D36" s="1">
        <v>2789</v>
      </c>
      <c r="E36" s="1">
        <v>2821.8000489999999</v>
      </c>
      <c r="F36" s="1">
        <v>2804.588135</v>
      </c>
      <c r="G36" s="1">
        <v>1328605</v>
      </c>
    </row>
    <row r="37" spans="1:7" x14ac:dyDescent="0.3">
      <c r="A37" s="2">
        <v>44335</v>
      </c>
      <c r="B37" s="1">
        <v>2805.1499020000001</v>
      </c>
      <c r="C37" s="1">
        <v>2849</v>
      </c>
      <c r="D37" s="1">
        <v>2798.6499020000001</v>
      </c>
      <c r="E37" s="1">
        <v>2815.8500979999999</v>
      </c>
      <c r="F37" s="1">
        <v>2798.6743160000001</v>
      </c>
      <c r="G37" s="1">
        <v>1219067</v>
      </c>
    </row>
    <row r="38" spans="1:7" x14ac:dyDescent="0.3">
      <c r="A38" s="2">
        <v>44336</v>
      </c>
      <c r="B38" s="1">
        <v>2814</v>
      </c>
      <c r="C38" s="1">
        <v>2845</v>
      </c>
      <c r="D38" s="1">
        <v>2778.5</v>
      </c>
      <c r="E38" s="1">
        <v>2794.1000979999999</v>
      </c>
      <c r="F38" s="1">
        <v>2777.0571289999998</v>
      </c>
      <c r="G38" s="1">
        <v>1211975</v>
      </c>
    </row>
    <row r="39" spans="1:7" x14ac:dyDescent="0.3">
      <c r="A39" s="2">
        <v>44337</v>
      </c>
      <c r="B39" s="1">
        <v>2807</v>
      </c>
      <c r="C39" s="1">
        <v>2854</v>
      </c>
      <c r="D39" s="1">
        <v>2795</v>
      </c>
      <c r="E39" s="1">
        <v>2832.5</v>
      </c>
      <c r="F39" s="1">
        <v>2815.2226559999999</v>
      </c>
      <c r="G39" s="1">
        <v>1328308</v>
      </c>
    </row>
    <row r="40" spans="1:7" x14ac:dyDescent="0.3">
      <c r="A40" s="2">
        <v>44340</v>
      </c>
      <c r="B40" s="1">
        <v>2846</v>
      </c>
      <c r="C40" s="1">
        <v>2849</v>
      </c>
      <c r="D40" s="1">
        <v>2808.1999510000001</v>
      </c>
      <c r="E40" s="1">
        <v>2819.1999510000001</v>
      </c>
      <c r="F40" s="1">
        <v>2802.0036620000001</v>
      </c>
      <c r="G40" s="1">
        <v>813091</v>
      </c>
    </row>
    <row r="41" spans="1:7" x14ac:dyDescent="0.3">
      <c r="A41" s="2">
        <v>44341</v>
      </c>
      <c r="B41" s="1">
        <v>2836.8999020000001</v>
      </c>
      <c r="C41" s="1">
        <v>2922.6499020000001</v>
      </c>
      <c r="D41" s="1">
        <v>2822.75</v>
      </c>
      <c r="E41" s="1">
        <v>2914.3999020000001</v>
      </c>
      <c r="F41" s="1">
        <v>2896.623047</v>
      </c>
      <c r="G41" s="1">
        <v>2730112</v>
      </c>
    </row>
    <row r="42" spans="1:7" x14ac:dyDescent="0.3">
      <c r="A42" s="2">
        <v>44342</v>
      </c>
      <c r="B42" s="1">
        <v>2939.8500979999999</v>
      </c>
      <c r="C42" s="1">
        <v>2947.8999020000001</v>
      </c>
      <c r="D42" s="1">
        <v>2910.3999020000001</v>
      </c>
      <c r="E42" s="1">
        <v>2941.6000979999999</v>
      </c>
      <c r="F42" s="1">
        <v>2923.6572270000001</v>
      </c>
      <c r="G42" s="1">
        <v>1250531</v>
      </c>
    </row>
    <row r="43" spans="1:7" x14ac:dyDescent="0.3">
      <c r="A43" s="2">
        <v>44343</v>
      </c>
      <c r="B43" s="1">
        <v>2950</v>
      </c>
      <c r="C43" s="1">
        <v>2965</v>
      </c>
      <c r="D43" s="1">
        <v>2902.25</v>
      </c>
      <c r="E43" s="1">
        <v>2949.3500979999999</v>
      </c>
      <c r="F43" s="1">
        <v>2931.360107</v>
      </c>
      <c r="G43" s="1">
        <v>2415085</v>
      </c>
    </row>
    <row r="44" spans="1:7" x14ac:dyDescent="0.3">
      <c r="A44" s="2">
        <v>44344</v>
      </c>
      <c r="B44" s="1">
        <v>2958.1499020000001</v>
      </c>
      <c r="C44" s="1">
        <v>2963.8000489999999</v>
      </c>
      <c r="D44" s="1">
        <v>2931.1499020000001</v>
      </c>
      <c r="E44" s="1">
        <v>2940.6999510000001</v>
      </c>
      <c r="F44" s="1">
        <v>2922.7624510000001</v>
      </c>
      <c r="G44" s="1">
        <v>711383</v>
      </c>
    </row>
    <row r="45" spans="1:7" x14ac:dyDescent="0.3">
      <c r="A45" s="2">
        <v>44347</v>
      </c>
      <c r="B45" s="1">
        <v>2938</v>
      </c>
      <c r="C45" s="1">
        <v>2989.9499510000001</v>
      </c>
      <c r="D45" s="1">
        <v>2936.1000979999999</v>
      </c>
      <c r="E45" s="1">
        <v>2977.5</v>
      </c>
      <c r="F45" s="1">
        <v>2959.3383789999998</v>
      </c>
      <c r="G45" s="1">
        <v>2093635</v>
      </c>
    </row>
    <row r="46" spans="1:7" x14ac:dyDescent="0.3">
      <c r="A46" s="2">
        <v>44348</v>
      </c>
      <c r="B46" s="1">
        <v>2965</v>
      </c>
      <c r="C46" s="1">
        <v>2982.6000979999999</v>
      </c>
      <c r="D46" s="1">
        <v>2915.1000979999999</v>
      </c>
      <c r="E46" s="1">
        <v>2931</v>
      </c>
      <c r="F46" s="1">
        <v>2913.1218260000001</v>
      </c>
      <c r="G46" s="1">
        <v>1194073</v>
      </c>
    </row>
    <row r="47" spans="1:7" x14ac:dyDescent="0.3">
      <c r="A47" s="2">
        <v>44349</v>
      </c>
      <c r="B47" s="1">
        <v>2918.8500979999999</v>
      </c>
      <c r="C47" s="1">
        <v>2933.75</v>
      </c>
      <c r="D47" s="1">
        <v>2877.1499020000001</v>
      </c>
      <c r="E47" s="1">
        <v>2903.6999510000001</v>
      </c>
      <c r="F47" s="1">
        <v>2885.9882809999999</v>
      </c>
      <c r="G47" s="1">
        <v>2067842</v>
      </c>
    </row>
    <row r="48" spans="1:7" x14ac:dyDescent="0.3">
      <c r="A48" s="2">
        <v>44350</v>
      </c>
      <c r="B48" s="1">
        <v>2919.6000979999999</v>
      </c>
      <c r="C48" s="1">
        <v>2942</v>
      </c>
      <c r="D48" s="1">
        <v>2904.0500489999999</v>
      </c>
      <c r="E48" s="1">
        <v>2935.3500979999999</v>
      </c>
      <c r="F48" s="1">
        <v>2917.4453130000002</v>
      </c>
      <c r="G48" s="1">
        <v>1404434</v>
      </c>
    </row>
    <row r="49" spans="1:7" x14ac:dyDescent="0.3">
      <c r="A49" s="2">
        <v>44351</v>
      </c>
      <c r="B49" s="1">
        <v>2953</v>
      </c>
      <c r="C49" s="1">
        <v>2990</v>
      </c>
      <c r="D49" s="1">
        <v>2908</v>
      </c>
      <c r="E49" s="1">
        <v>2924.8999020000001</v>
      </c>
      <c r="F49" s="1">
        <v>2907.0590820000002</v>
      </c>
      <c r="G49" s="1">
        <v>1509084</v>
      </c>
    </row>
    <row r="50" spans="1:7" x14ac:dyDescent="0.3">
      <c r="A50" s="2">
        <v>44354</v>
      </c>
      <c r="B50" s="1">
        <v>2930</v>
      </c>
      <c r="C50" s="1">
        <v>2941</v>
      </c>
      <c r="D50" s="1">
        <v>2903.9499510000001</v>
      </c>
      <c r="E50" s="1">
        <v>2933.1000979999999</v>
      </c>
      <c r="F50" s="1">
        <v>2915.2092290000001</v>
      </c>
      <c r="G50" s="1">
        <v>802415</v>
      </c>
    </row>
    <row r="51" spans="1:7" x14ac:dyDescent="0.3">
      <c r="A51" s="2">
        <v>44355</v>
      </c>
      <c r="B51" s="1">
        <v>2928</v>
      </c>
      <c r="C51" s="1">
        <v>2944.25</v>
      </c>
      <c r="D51" s="1">
        <v>2907.5</v>
      </c>
      <c r="E51" s="1">
        <v>2926.25</v>
      </c>
      <c r="F51" s="1">
        <v>2908.4008789999998</v>
      </c>
      <c r="G51" s="1">
        <v>762931</v>
      </c>
    </row>
    <row r="52" spans="1:7" x14ac:dyDescent="0.3">
      <c r="A52" s="2">
        <v>44356</v>
      </c>
      <c r="B52" s="1">
        <v>2930.8000489999999</v>
      </c>
      <c r="C52" s="1">
        <v>2965</v>
      </c>
      <c r="D52" s="1">
        <v>2919.6000979999999</v>
      </c>
      <c r="E52" s="1">
        <v>2943.5500489999999</v>
      </c>
      <c r="F52" s="1">
        <v>2925.5954590000001</v>
      </c>
      <c r="G52" s="1">
        <v>1340352</v>
      </c>
    </row>
    <row r="53" spans="1:7" x14ac:dyDescent="0.3">
      <c r="A53" s="2">
        <v>44357</v>
      </c>
      <c r="B53" s="1">
        <v>2945</v>
      </c>
      <c r="C53" s="1">
        <v>2959.3000489999999</v>
      </c>
      <c r="D53" s="1">
        <v>2920.6499020000001</v>
      </c>
      <c r="E53" s="1">
        <v>2950.6000979999999</v>
      </c>
      <c r="F53" s="1">
        <v>2947.1198730000001</v>
      </c>
      <c r="G53" s="1">
        <v>1344559</v>
      </c>
    </row>
    <row r="54" spans="1:7" x14ac:dyDescent="0.3">
      <c r="A54" s="2">
        <v>44358</v>
      </c>
      <c r="B54" s="1">
        <v>2960</v>
      </c>
      <c r="C54" s="1">
        <v>2971.6000979999999</v>
      </c>
      <c r="D54" s="1">
        <v>2938.6000979999999</v>
      </c>
      <c r="E54" s="1">
        <v>2956.25</v>
      </c>
      <c r="F54" s="1">
        <v>2952.7631839999999</v>
      </c>
      <c r="G54" s="1">
        <v>878445</v>
      </c>
    </row>
    <row r="55" spans="1:7" x14ac:dyDescent="0.3">
      <c r="A55" s="2">
        <v>44361</v>
      </c>
      <c r="B55" s="1">
        <v>2955.1000979999999</v>
      </c>
      <c r="C55" s="1">
        <v>2970</v>
      </c>
      <c r="D55" s="1">
        <v>2916.5</v>
      </c>
      <c r="E55" s="1">
        <v>2949.8999020000001</v>
      </c>
      <c r="F55" s="1">
        <v>2946.420654</v>
      </c>
      <c r="G55" s="1">
        <v>746823</v>
      </c>
    </row>
    <row r="56" spans="1:7" x14ac:dyDescent="0.3">
      <c r="A56" s="2">
        <v>44362</v>
      </c>
      <c r="B56" s="1">
        <v>2970</v>
      </c>
      <c r="C56" s="1">
        <v>3050</v>
      </c>
      <c r="D56" s="1">
        <v>2960.9499510000001</v>
      </c>
      <c r="E56" s="1">
        <v>3042.1999510000001</v>
      </c>
      <c r="F56" s="1">
        <v>3038.6118160000001</v>
      </c>
      <c r="G56" s="1">
        <v>2262031</v>
      </c>
    </row>
    <row r="57" spans="1:7" x14ac:dyDescent="0.3">
      <c r="A57" s="2">
        <v>44363</v>
      </c>
      <c r="B57" s="1">
        <v>3029</v>
      </c>
      <c r="C57" s="1">
        <v>3042.1999510000001</v>
      </c>
      <c r="D57" s="1">
        <v>3005.5</v>
      </c>
      <c r="E57" s="1">
        <v>3018.6999510000001</v>
      </c>
      <c r="F57" s="1">
        <v>3015.139404</v>
      </c>
      <c r="G57" s="1">
        <v>859505</v>
      </c>
    </row>
    <row r="58" spans="1:7" x14ac:dyDescent="0.3">
      <c r="A58" s="2">
        <v>44364</v>
      </c>
      <c r="B58" s="1">
        <v>3017.9499510000001</v>
      </c>
      <c r="C58" s="1">
        <v>3073.9499510000001</v>
      </c>
      <c r="D58" s="1">
        <v>3000.5</v>
      </c>
      <c r="E58" s="1">
        <v>3060.3000489999999</v>
      </c>
      <c r="F58" s="1">
        <v>3056.6906739999999</v>
      </c>
      <c r="G58" s="1">
        <v>1533864</v>
      </c>
    </row>
    <row r="59" spans="1:7" x14ac:dyDescent="0.3">
      <c r="A59" s="2">
        <v>44365</v>
      </c>
      <c r="B59" s="1">
        <v>3061.5500489999999</v>
      </c>
      <c r="C59" s="1">
        <v>3077.8000489999999</v>
      </c>
      <c r="D59" s="1">
        <v>3016.0500489999999</v>
      </c>
      <c r="E59" s="1">
        <v>3047.1999510000001</v>
      </c>
      <c r="F59" s="1">
        <v>3043.6059570000002</v>
      </c>
      <c r="G59" s="1">
        <v>2293860</v>
      </c>
    </row>
    <row r="60" spans="1:7" x14ac:dyDescent="0.3">
      <c r="A60" s="2">
        <v>44368</v>
      </c>
      <c r="B60" s="1">
        <v>3024.1999510000001</v>
      </c>
      <c r="C60" s="1">
        <v>3079.1499020000001</v>
      </c>
      <c r="D60" s="1">
        <v>3021.0500489999999</v>
      </c>
      <c r="E60" s="1">
        <v>3068.5500489999999</v>
      </c>
      <c r="F60" s="1">
        <v>3064.9309079999998</v>
      </c>
      <c r="G60" s="1">
        <v>720491</v>
      </c>
    </row>
    <row r="61" spans="1:7" x14ac:dyDescent="0.3">
      <c r="A61" s="2">
        <v>44369</v>
      </c>
      <c r="B61" s="1">
        <v>3085</v>
      </c>
      <c r="C61" s="1">
        <v>3092.8500979999999</v>
      </c>
      <c r="D61" s="1">
        <v>3004.1999510000001</v>
      </c>
      <c r="E61" s="1">
        <v>3010.8000489999999</v>
      </c>
      <c r="F61" s="1">
        <v>3007.2490229999999</v>
      </c>
      <c r="G61" s="1">
        <v>1199238</v>
      </c>
    </row>
    <row r="62" spans="1:7" x14ac:dyDescent="0.3">
      <c r="A62" s="2">
        <v>44370</v>
      </c>
      <c r="B62" s="1">
        <v>3030</v>
      </c>
      <c r="C62" s="1">
        <v>3030</v>
      </c>
      <c r="D62" s="1">
        <v>2983.5</v>
      </c>
      <c r="E62" s="1">
        <v>2987.3500979999999</v>
      </c>
      <c r="F62" s="1">
        <v>2983.8266600000002</v>
      </c>
      <c r="G62" s="1">
        <v>1009007</v>
      </c>
    </row>
    <row r="63" spans="1:7" x14ac:dyDescent="0.3">
      <c r="A63" s="2">
        <v>44371</v>
      </c>
      <c r="B63" s="1">
        <v>2987.3500979999999</v>
      </c>
      <c r="C63" s="1">
        <v>3049.6999510000001</v>
      </c>
      <c r="D63" s="1">
        <v>2975.4499510000001</v>
      </c>
      <c r="E63" s="1">
        <v>3043.25</v>
      </c>
      <c r="F63" s="1">
        <v>3039.6606449999999</v>
      </c>
      <c r="G63" s="1">
        <v>985596</v>
      </c>
    </row>
    <row r="64" spans="1:7" x14ac:dyDescent="0.3">
      <c r="A64" s="2">
        <v>44372</v>
      </c>
      <c r="B64" s="1">
        <v>3030.1999510000001</v>
      </c>
      <c r="C64" s="1">
        <v>3053.5</v>
      </c>
      <c r="D64" s="1">
        <v>2985</v>
      </c>
      <c r="E64" s="1">
        <v>3003.8999020000001</v>
      </c>
      <c r="F64" s="1">
        <v>3000.3569339999999</v>
      </c>
      <c r="G64" s="1">
        <v>786964</v>
      </c>
    </row>
    <row r="65" spans="1:7" x14ac:dyDescent="0.3">
      <c r="A65" s="2">
        <v>44375</v>
      </c>
      <c r="B65" s="1">
        <v>3024</v>
      </c>
      <c r="C65" s="1">
        <v>3038.8500979999999</v>
      </c>
      <c r="D65" s="1">
        <v>2976.25</v>
      </c>
      <c r="E65" s="1">
        <v>2982.9499510000001</v>
      </c>
      <c r="F65" s="1">
        <v>2979.4316410000001</v>
      </c>
      <c r="G65" s="1">
        <v>891695</v>
      </c>
    </row>
    <row r="66" spans="1:7" x14ac:dyDescent="0.3">
      <c r="A66" s="2">
        <v>44376</v>
      </c>
      <c r="B66" s="1">
        <v>2989</v>
      </c>
      <c r="C66" s="1">
        <v>3023.8500979999999</v>
      </c>
      <c r="D66" s="1">
        <v>2973.0500489999999</v>
      </c>
      <c r="E66" s="1">
        <v>3001.5</v>
      </c>
      <c r="F66" s="1">
        <v>2997.959961</v>
      </c>
      <c r="G66" s="1">
        <v>1242734</v>
      </c>
    </row>
    <row r="67" spans="1:7" x14ac:dyDescent="0.3">
      <c r="A67" s="2">
        <v>44377</v>
      </c>
      <c r="B67" s="1">
        <v>2999</v>
      </c>
      <c r="C67" s="1">
        <v>3030</v>
      </c>
      <c r="D67" s="1">
        <v>2985.6499020000001</v>
      </c>
      <c r="E67" s="1">
        <v>2992.6999510000001</v>
      </c>
      <c r="F67" s="1">
        <v>2989.1701659999999</v>
      </c>
      <c r="G67" s="1">
        <v>924522</v>
      </c>
    </row>
    <row r="68" spans="1:7" x14ac:dyDescent="0.3">
      <c r="A68" s="2">
        <v>44378</v>
      </c>
      <c r="B68" s="1">
        <v>3008</v>
      </c>
      <c r="C68" s="1">
        <v>3026.8999020000001</v>
      </c>
      <c r="D68" s="1">
        <v>2997</v>
      </c>
      <c r="E68" s="1">
        <v>3021.6000979999999</v>
      </c>
      <c r="F68" s="1">
        <v>3018.0361330000001</v>
      </c>
      <c r="G68" s="1">
        <v>848235</v>
      </c>
    </row>
    <row r="69" spans="1:7" x14ac:dyDescent="0.3">
      <c r="A69" s="2">
        <v>44379</v>
      </c>
      <c r="B69" s="1">
        <v>3032.9499510000001</v>
      </c>
      <c r="C69" s="1">
        <v>3038.8000489999999</v>
      </c>
      <c r="D69" s="1">
        <v>2999.75</v>
      </c>
      <c r="E69" s="1">
        <v>3005</v>
      </c>
      <c r="F69" s="1">
        <v>3001.4558109999998</v>
      </c>
      <c r="G69" s="1">
        <v>805542</v>
      </c>
    </row>
    <row r="70" spans="1:7" x14ac:dyDescent="0.3">
      <c r="A70" s="2">
        <v>44382</v>
      </c>
      <c r="B70" s="1">
        <v>3020</v>
      </c>
      <c r="C70" s="1">
        <v>3050</v>
      </c>
      <c r="D70" s="1">
        <v>3007.1000979999999</v>
      </c>
      <c r="E70" s="1">
        <v>3014.8000489999999</v>
      </c>
      <c r="F70" s="1">
        <v>3011.2441410000001</v>
      </c>
      <c r="G70" s="1">
        <v>863343</v>
      </c>
    </row>
    <row r="71" spans="1:7" x14ac:dyDescent="0.3">
      <c r="A71" s="2">
        <v>44383</v>
      </c>
      <c r="B71" s="1">
        <v>3003</v>
      </c>
      <c r="C71" s="1">
        <v>3029.5</v>
      </c>
      <c r="D71" s="1">
        <v>2996</v>
      </c>
      <c r="E71" s="1">
        <v>3002.5</v>
      </c>
      <c r="F71" s="1">
        <v>2998.95874</v>
      </c>
      <c r="G71" s="1">
        <v>762630</v>
      </c>
    </row>
    <row r="72" spans="1:7" x14ac:dyDescent="0.3">
      <c r="A72" s="2">
        <v>44384</v>
      </c>
      <c r="B72" s="1">
        <v>3065</v>
      </c>
      <c r="C72" s="1">
        <v>3069</v>
      </c>
      <c r="D72" s="1">
        <v>3011.25</v>
      </c>
      <c r="E72" s="1">
        <v>3040.1000979999999</v>
      </c>
      <c r="F72" s="1">
        <v>3036.514404</v>
      </c>
      <c r="G72" s="1">
        <v>1234865</v>
      </c>
    </row>
    <row r="73" spans="1:7" x14ac:dyDescent="0.3">
      <c r="A73" s="2">
        <v>44385</v>
      </c>
      <c r="B73" s="1">
        <v>3050</v>
      </c>
      <c r="C73" s="1">
        <v>3059</v>
      </c>
      <c r="D73" s="1">
        <v>3018.8000489999999</v>
      </c>
      <c r="E73" s="1">
        <v>3028.3000489999999</v>
      </c>
      <c r="F73" s="1">
        <v>3024.7282709999999</v>
      </c>
      <c r="G73" s="1">
        <v>907391</v>
      </c>
    </row>
    <row r="74" spans="1:7" x14ac:dyDescent="0.3">
      <c r="A74" s="2">
        <v>44386</v>
      </c>
      <c r="B74" s="1">
        <v>3022</v>
      </c>
      <c r="C74" s="1">
        <v>3039.1499020000001</v>
      </c>
      <c r="D74" s="1">
        <v>3007</v>
      </c>
      <c r="E74" s="1">
        <v>3010.6000979999999</v>
      </c>
      <c r="F74" s="1">
        <v>3007.0493160000001</v>
      </c>
      <c r="G74" s="1">
        <v>547082</v>
      </c>
    </row>
    <row r="75" spans="1:7" x14ac:dyDescent="0.3">
      <c r="A75" s="2">
        <v>44389</v>
      </c>
      <c r="B75" s="1">
        <v>3034.8999020000001</v>
      </c>
      <c r="C75" s="1">
        <v>3042.8500979999999</v>
      </c>
      <c r="D75" s="1">
        <v>2991.0500489999999</v>
      </c>
      <c r="E75" s="1">
        <v>2999.3999020000001</v>
      </c>
      <c r="F75" s="1">
        <v>2995.8623050000001</v>
      </c>
      <c r="G75" s="1">
        <v>765566</v>
      </c>
    </row>
    <row r="76" spans="1:7" x14ac:dyDescent="0.3">
      <c r="A76" s="2">
        <v>44390</v>
      </c>
      <c r="B76" s="1">
        <v>3020</v>
      </c>
      <c r="C76" s="1">
        <v>3021.1000979999999</v>
      </c>
      <c r="D76" s="1">
        <v>2985.3500979999999</v>
      </c>
      <c r="E76" s="1">
        <v>2993.8500979999999</v>
      </c>
      <c r="F76" s="1">
        <v>2990.3190920000002</v>
      </c>
      <c r="G76" s="1">
        <v>703484</v>
      </c>
    </row>
    <row r="77" spans="1:7" x14ac:dyDescent="0.3">
      <c r="A77" s="2">
        <v>44391</v>
      </c>
      <c r="B77" s="1">
        <v>3003</v>
      </c>
      <c r="C77" s="1">
        <v>3007.75</v>
      </c>
      <c r="D77" s="1">
        <v>2984.1999510000001</v>
      </c>
      <c r="E77" s="1">
        <v>3001.9499510000001</v>
      </c>
      <c r="F77" s="1">
        <v>2998.4091800000001</v>
      </c>
      <c r="G77" s="1">
        <v>470744</v>
      </c>
    </row>
    <row r="78" spans="1:7" x14ac:dyDescent="0.3">
      <c r="A78" s="2">
        <v>44392</v>
      </c>
      <c r="B78" s="1">
        <v>3010</v>
      </c>
      <c r="C78" s="1">
        <v>3011</v>
      </c>
      <c r="D78" s="1">
        <v>2971.1000979999999</v>
      </c>
      <c r="E78" s="1">
        <v>2983.6000979999999</v>
      </c>
      <c r="F78" s="1">
        <v>2980.0810550000001</v>
      </c>
      <c r="G78" s="1">
        <v>635535</v>
      </c>
    </row>
    <row r="79" spans="1:7" x14ac:dyDescent="0.3">
      <c r="A79" s="2">
        <v>44393</v>
      </c>
      <c r="B79" s="1">
        <v>2994</v>
      </c>
      <c r="C79" s="1">
        <v>3006</v>
      </c>
      <c r="D79" s="1">
        <v>2965</v>
      </c>
      <c r="E79" s="1">
        <v>2989.3000489999999</v>
      </c>
      <c r="F79" s="1">
        <v>2985.774414</v>
      </c>
      <c r="G79" s="1">
        <v>1062548</v>
      </c>
    </row>
    <row r="80" spans="1:7" x14ac:dyDescent="0.3">
      <c r="A80" s="2">
        <v>44396</v>
      </c>
      <c r="B80" s="1">
        <v>2989.3000489999999</v>
      </c>
      <c r="C80" s="1">
        <v>2999.6999510000001</v>
      </c>
      <c r="D80" s="1">
        <v>2965</v>
      </c>
      <c r="E80" s="1">
        <v>2981.9499510000001</v>
      </c>
      <c r="F80" s="1">
        <v>2978.4328609999998</v>
      </c>
      <c r="G80" s="1">
        <v>837836</v>
      </c>
    </row>
    <row r="81" spans="1:7" x14ac:dyDescent="0.3">
      <c r="A81" s="2">
        <v>44397</v>
      </c>
      <c r="B81" s="1">
        <v>2996</v>
      </c>
      <c r="C81" s="1">
        <v>3179.5</v>
      </c>
      <c r="D81" s="1">
        <v>2979.5500489999999</v>
      </c>
      <c r="E81" s="1">
        <v>3159.0500489999999</v>
      </c>
      <c r="F81" s="1">
        <v>3155.3239749999998</v>
      </c>
      <c r="G81" s="1">
        <v>6755922</v>
      </c>
    </row>
    <row r="82" spans="1:7" x14ac:dyDescent="0.3">
      <c r="A82" s="2">
        <v>44399</v>
      </c>
      <c r="B82" s="1">
        <v>3130</v>
      </c>
      <c r="C82" s="1">
        <v>3165</v>
      </c>
      <c r="D82" s="1">
        <v>3090</v>
      </c>
      <c r="E82" s="1">
        <v>3106.75</v>
      </c>
      <c r="F82" s="1">
        <v>3103.085693</v>
      </c>
      <c r="G82" s="1">
        <v>1982572</v>
      </c>
    </row>
    <row r="83" spans="1:7" x14ac:dyDescent="0.3">
      <c r="A83" s="2">
        <v>44400</v>
      </c>
      <c r="B83" s="1">
        <v>3106</v>
      </c>
      <c r="C83" s="1">
        <v>3129.6000979999999</v>
      </c>
      <c r="D83" s="1">
        <v>3078.0500489999999</v>
      </c>
      <c r="E83" s="1">
        <v>3083.75</v>
      </c>
      <c r="F83" s="1">
        <v>3080.1127929999998</v>
      </c>
      <c r="G83" s="1">
        <v>815329</v>
      </c>
    </row>
    <row r="84" spans="1:7" x14ac:dyDescent="0.3">
      <c r="A84" s="2">
        <v>44403</v>
      </c>
      <c r="B84" s="1">
        <v>3079.9499510000001</v>
      </c>
      <c r="C84" s="1">
        <v>3119</v>
      </c>
      <c r="D84" s="1">
        <v>3051.1999510000001</v>
      </c>
      <c r="E84" s="1">
        <v>3061.1999510000001</v>
      </c>
      <c r="F84" s="1">
        <v>3057.5893550000001</v>
      </c>
      <c r="G84" s="1">
        <v>1136884</v>
      </c>
    </row>
    <row r="85" spans="1:7" x14ac:dyDescent="0.3">
      <c r="A85" s="2">
        <v>44404</v>
      </c>
      <c r="B85" s="1">
        <v>3079.3999020000001</v>
      </c>
      <c r="C85" s="1">
        <v>3081.5</v>
      </c>
      <c r="D85" s="1">
        <v>3021.3000489999999</v>
      </c>
      <c r="E85" s="1">
        <v>3028.6499020000001</v>
      </c>
      <c r="F85" s="1">
        <v>3025.0776369999999</v>
      </c>
      <c r="G85" s="1">
        <v>904289</v>
      </c>
    </row>
    <row r="86" spans="1:7" x14ac:dyDescent="0.3">
      <c r="A86" s="2">
        <v>44405</v>
      </c>
      <c r="B86" s="1">
        <v>3030.3500979999999</v>
      </c>
      <c r="C86" s="1">
        <v>3033</v>
      </c>
      <c r="D86" s="1">
        <v>2984</v>
      </c>
      <c r="E86" s="1">
        <v>3004.1000979999999</v>
      </c>
      <c r="F86" s="1">
        <v>3000.556885</v>
      </c>
      <c r="G86" s="1">
        <v>996594</v>
      </c>
    </row>
    <row r="87" spans="1:7" x14ac:dyDescent="0.3">
      <c r="A87" s="2">
        <v>44406</v>
      </c>
      <c r="B87" s="1">
        <v>3004.1000979999999</v>
      </c>
      <c r="C87" s="1">
        <v>3039.9499510000001</v>
      </c>
      <c r="D87" s="1">
        <v>2990.3000489999999</v>
      </c>
      <c r="E87" s="1">
        <v>2997.4499510000001</v>
      </c>
      <c r="F87" s="1">
        <v>2993.9145509999998</v>
      </c>
      <c r="G87" s="1">
        <v>762683</v>
      </c>
    </row>
    <row r="88" spans="1:7" x14ac:dyDescent="0.3">
      <c r="A88" s="2">
        <v>44407</v>
      </c>
      <c r="B88" s="1">
        <v>3008</v>
      </c>
      <c r="C88" s="1">
        <v>3008.6499020000001</v>
      </c>
      <c r="D88" s="1">
        <v>2951.8999020000001</v>
      </c>
      <c r="E88" s="1">
        <v>2958.4499510000001</v>
      </c>
      <c r="F88" s="1">
        <v>2954.960693</v>
      </c>
      <c r="G88" s="1">
        <v>1067423</v>
      </c>
    </row>
    <row r="89" spans="1:7" x14ac:dyDescent="0.3">
      <c r="A89" s="2">
        <v>44410</v>
      </c>
      <c r="B89" s="1">
        <v>2985.6000979999999</v>
      </c>
      <c r="C89" s="1">
        <v>2986.8000489999999</v>
      </c>
      <c r="D89" s="1">
        <v>2960.6499020000001</v>
      </c>
      <c r="E89" s="1">
        <v>2974.0500489999999</v>
      </c>
      <c r="F89" s="1">
        <v>2970.5422359999998</v>
      </c>
      <c r="G89" s="1">
        <v>832285</v>
      </c>
    </row>
    <row r="90" spans="1:7" x14ac:dyDescent="0.3">
      <c r="A90" s="2">
        <v>44411</v>
      </c>
      <c r="B90" s="1">
        <v>3020</v>
      </c>
      <c r="C90" s="1">
        <v>3065</v>
      </c>
      <c r="D90" s="1">
        <v>2994.1999510000001</v>
      </c>
      <c r="E90" s="1">
        <v>3027</v>
      </c>
      <c r="F90" s="1">
        <v>3023.4296880000002</v>
      </c>
      <c r="G90" s="1">
        <v>2433031</v>
      </c>
    </row>
    <row r="91" spans="1:7" x14ac:dyDescent="0.3">
      <c r="A91" s="2">
        <v>44412</v>
      </c>
      <c r="B91" s="1">
        <v>3040.6000979999999</v>
      </c>
      <c r="C91" s="1">
        <v>3053.3000489999999</v>
      </c>
      <c r="D91" s="1">
        <v>3012</v>
      </c>
      <c r="E91" s="1">
        <v>3018.6000979999999</v>
      </c>
      <c r="F91" s="1">
        <v>3015.0397950000001</v>
      </c>
      <c r="G91" s="1">
        <v>659295</v>
      </c>
    </row>
    <row r="92" spans="1:7" x14ac:dyDescent="0.3">
      <c r="A92" s="2">
        <v>44413</v>
      </c>
      <c r="B92" s="1">
        <v>3034</v>
      </c>
      <c r="C92" s="1">
        <v>3040</v>
      </c>
      <c r="D92" s="1">
        <v>2980.0500489999999</v>
      </c>
      <c r="E92" s="1">
        <v>2988.3999020000001</v>
      </c>
      <c r="F92" s="1">
        <v>2984.8752439999998</v>
      </c>
      <c r="G92" s="1">
        <v>693694</v>
      </c>
    </row>
    <row r="93" spans="1:7" x14ac:dyDescent="0.3">
      <c r="A93" s="2">
        <v>44414</v>
      </c>
      <c r="B93" s="1">
        <v>2995</v>
      </c>
      <c r="C93" s="1">
        <v>3001</v>
      </c>
      <c r="D93" s="1">
        <v>2961.4499510000001</v>
      </c>
      <c r="E93" s="1">
        <v>2966.4499510000001</v>
      </c>
      <c r="F93" s="1">
        <v>2962.951172</v>
      </c>
      <c r="G93" s="1">
        <v>744159</v>
      </c>
    </row>
    <row r="94" spans="1:7" x14ac:dyDescent="0.3">
      <c r="A94" s="2">
        <v>44417</v>
      </c>
      <c r="B94" s="1">
        <v>2994.6499020000001</v>
      </c>
      <c r="C94" s="1">
        <v>3015</v>
      </c>
      <c r="D94" s="1">
        <v>2973.0500489999999</v>
      </c>
      <c r="E94" s="1">
        <v>2992.5500489999999</v>
      </c>
      <c r="F94" s="1">
        <v>2989.0205080000001</v>
      </c>
      <c r="G94" s="1">
        <v>825462</v>
      </c>
    </row>
    <row r="95" spans="1:7" x14ac:dyDescent="0.3">
      <c r="A95" s="2">
        <v>44418</v>
      </c>
      <c r="B95" s="1">
        <v>2998</v>
      </c>
      <c r="C95" s="1">
        <v>3008.3000489999999</v>
      </c>
      <c r="D95" s="1">
        <v>2960.5500489999999</v>
      </c>
      <c r="E95" s="1">
        <v>2977.1499020000001</v>
      </c>
      <c r="F95" s="1">
        <v>2973.6384280000002</v>
      </c>
      <c r="G95" s="1">
        <v>724335</v>
      </c>
    </row>
    <row r="96" spans="1:7" x14ac:dyDescent="0.3">
      <c r="A96" s="2">
        <v>44419</v>
      </c>
      <c r="B96" s="1">
        <v>2987.3999020000001</v>
      </c>
      <c r="C96" s="1">
        <v>3001.4499510000001</v>
      </c>
      <c r="D96" s="1">
        <v>2952.5500489999999</v>
      </c>
      <c r="E96" s="1">
        <v>2972.6000979999999</v>
      </c>
      <c r="F96" s="1">
        <v>2969.0939939999998</v>
      </c>
      <c r="G96" s="1">
        <v>987941</v>
      </c>
    </row>
    <row r="97" spans="1:7" x14ac:dyDescent="0.3">
      <c r="A97" s="2">
        <v>44420</v>
      </c>
      <c r="B97" s="1">
        <v>2974</v>
      </c>
      <c r="C97" s="1">
        <v>2985.25</v>
      </c>
      <c r="D97" s="1">
        <v>2958</v>
      </c>
      <c r="E97" s="1">
        <v>2975.5</v>
      </c>
      <c r="F97" s="1">
        <v>2971.9904790000001</v>
      </c>
      <c r="G97" s="1">
        <v>438552</v>
      </c>
    </row>
    <row r="98" spans="1:7" x14ac:dyDescent="0.3">
      <c r="A98" s="2">
        <v>44421</v>
      </c>
      <c r="B98" s="1">
        <v>2980.8999020000001</v>
      </c>
      <c r="C98" s="1">
        <v>3002</v>
      </c>
      <c r="D98" s="1">
        <v>2973.1000979999999</v>
      </c>
      <c r="E98" s="1">
        <v>2988.6999510000001</v>
      </c>
      <c r="F98" s="1">
        <v>2985.1748050000001</v>
      </c>
      <c r="G98" s="1">
        <v>572250</v>
      </c>
    </row>
    <row r="99" spans="1:7" x14ac:dyDescent="0.3">
      <c r="A99" s="2">
        <v>44424</v>
      </c>
      <c r="B99" s="1">
        <v>2980</v>
      </c>
      <c r="C99" s="1">
        <v>2984.1499020000001</v>
      </c>
      <c r="D99" s="1">
        <v>2960</v>
      </c>
      <c r="E99" s="1">
        <v>2971.3999020000001</v>
      </c>
      <c r="F99" s="1">
        <v>2967.8952640000002</v>
      </c>
      <c r="G99" s="1">
        <v>461742</v>
      </c>
    </row>
    <row r="100" spans="1:7" x14ac:dyDescent="0.3">
      <c r="A100" s="2">
        <v>44425</v>
      </c>
      <c r="B100" s="1">
        <v>2974</v>
      </c>
      <c r="C100" s="1">
        <v>3044</v>
      </c>
      <c r="D100" s="1">
        <v>2973.1000979999999</v>
      </c>
      <c r="E100" s="1">
        <v>3015.3000489999999</v>
      </c>
      <c r="F100" s="1">
        <v>3011.7436520000001</v>
      </c>
      <c r="G100" s="1">
        <v>2036757</v>
      </c>
    </row>
    <row r="101" spans="1:7" x14ac:dyDescent="0.3">
      <c r="A101" s="2">
        <v>44426</v>
      </c>
      <c r="B101" s="1">
        <v>3048</v>
      </c>
      <c r="C101" s="1">
        <v>3048</v>
      </c>
      <c r="D101" s="1">
        <v>2992.5500489999999</v>
      </c>
      <c r="E101" s="1">
        <v>3001.5500489999999</v>
      </c>
      <c r="F101" s="1">
        <v>2998.0097660000001</v>
      </c>
      <c r="G101" s="1">
        <v>1375320</v>
      </c>
    </row>
    <row r="102" spans="1:7" x14ac:dyDescent="0.3">
      <c r="A102" s="2">
        <v>44428</v>
      </c>
      <c r="B102" s="1">
        <v>3001.5</v>
      </c>
      <c r="C102" s="1">
        <v>3124.0500489999999</v>
      </c>
      <c r="D102" s="1">
        <v>3001.5</v>
      </c>
      <c r="E102" s="1">
        <v>3112.9499510000001</v>
      </c>
      <c r="F102" s="1">
        <v>3109.2783199999999</v>
      </c>
      <c r="G102" s="1">
        <v>3931334</v>
      </c>
    </row>
    <row r="103" spans="1:7" x14ac:dyDescent="0.3">
      <c r="A103" s="2">
        <v>44431</v>
      </c>
      <c r="B103" s="1">
        <v>3159.0500489999999</v>
      </c>
      <c r="C103" s="1">
        <v>3163.8500979999999</v>
      </c>
      <c r="D103" s="1">
        <v>3051</v>
      </c>
      <c r="E103" s="1">
        <v>3077.4499510000001</v>
      </c>
      <c r="F103" s="1">
        <v>3073.8203130000002</v>
      </c>
      <c r="G103" s="1">
        <v>1578949</v>
      </c>
    </row>
    <row r="104" spans="1:7" x14ac:dyDescent="0.3">
      <c r="A104" s="2">
        <v>44432</v>
      </c>
      <c r="B104" s="1">
        <v>3092.8000489999999</v>
      </c>
      <c r="C104" s="1">
        <v>3092.8000489999999</v>
      </c>
      <c r="D104" s="1">
        <v>3034.5500489999999</v>
      </c>
      <c r="E104" s="1">
        <v>3045.9499510000001</v>
      </c>
      <c r="F104" s="1">
        <v>3042.357422</v>
      </c>
      <c r="G104" s="1">
        <v>763704</v>
      </c>
    </row>
    <row r="105" spans="1:7" x14ac:dyDescent="0.3">
      <c r="A105" s="2">
        <v>44433</v>
      </c>
      <c r="B105" s="1">
        <v>3026</v>
      </c>
      <c r="C105" s="1">
        <v>3070</v>
      </c>
      <c r="D105" s="1">
        <v>3012.6000979999999</v>
      </c>
      <c r="E105" s="1">
        <v>3038.0500489999999</v>
      </c>
      <c r="F105" s="1">
        <v>3034.466797</v>
      </c>
      <c r="G105" s="1">
        <v>797870</v>
      </c>
    </row>
    <row r="106" spans="1:7" x14ac:dyDescent="0.3">
      <c r="A106" s="2">
        <v>44434</v>
      </c>
      <c r="B106" s="1">
        <v>3064</v>
      </c>
      <c r="C106" s="1">
        <v>3084.5</v>
      </c>
      <c r="D106" s="1">
        <v>3026.1999510000001</v>
      </c>
      <c r="E106" s="1">
        <v>3039.6499020000001</v>
      </c>
      <c r="F106" s="1">
        <v>3036.0646969999998</v>
      </c>
      <c r="G106" s="1">
        <v>1319516</v>
      </c>
    </row>
    <row r="107" spans="1:7" x14ac:dyDescent="0.3">
      <c r="A107" s="2">
        <v>44435</v>
      </c>
      <c r="B107" s="1">
        <v>3040.4499510000001</v>
      </c>
      <c r="C107" s="1">
        <v>3057.9499510000001</v>
      </c>
      <c r="D107" s="1">
        <v>3020.5</v>
      </c>
      <c r="E107" s="1">
        <v>3036.8000489999999</v>
      </c>
      <c r="F107" s="1">
        <v>3033.2182619999999</v>
      </c>
      <c r="G107" s="1">
        <v>634375</v>
      </c>
    </row>
    <row r="108" spans="1:7" x14ac:dyDescent="0.3">
      <c r="A108" s="2">
        <v>44438</v>
      </c>
      <c r="B108" s="1">
        <v>3056.6999510000001</v>
      </c>
      <c r="C108" s="1">
        <v>3114.25</v>
      </c>
      <c r="D108" s="1">
        <v>3048.0500489999999</v>
      </c>
      <c r="E108" s="1">
        <v>3108.75</v>
      </c>
      <c r="F108" s="1">
        <v>3105.0832519999999</v>
      </c>
      <c r="G108" s="1">
        <v>1051747</v>
      </c>
    </row>
    <row r="109" spans="1:7" x14ac:dyDescent="0.3">
      <c r="A109" s="2">
        <v>44439</v>
      </c>
      <c r="B109" s="1">
        <v>3108.75</v>
      </c>
      <c r="C109" s="1">
        <v>3210</v>
      </c>
      <c r="D109" s="1">
        <v>3103.0500489999999</v>
      </c>
      <c r="E109" s="1">
        <v>3201.3500979999999</v>
      </c>
      <c r="F109" s="1">
        <v>3197.5742190000001</v>
      </c>
      <c r="G109" s="1">
        <v>2283290</v>
      </c>
    </row>
    <row r="110" spans="1:7" x14ac:dyDescent="0.3">
      <c r="A110" s="2">
        <v>44440</v>
      </c>
      <c r="B110" s="1">
        <v>3230.0500489999999</v>
      </c>
      <c r="C110" s="1">
        <v>3333</v>
      </c>
      <c r="D110" s="1">
        <v>3215</v>
      </c>
      <c r="E110" s="1">
        <v>3302.75</v>
      </c>
      <c r="F110" s="1">
        <v>3298.8544919999999</v>
      </c>
      <c r="G110" s="1">
        <v>2423168</v>
      </c>
    </row>
    <row r="111" spans="1:7" x14ac:dyDescent="0.3">
      <c r="A111" s="2">
        <v>44441</v>
      </c>
      <c r="B111" s="1">
        <v>3312.9499510000001</v>
      </c>
      <c r="C111" s="1">
        <v>3319</v>
      </c>
      <c r="D111" s="1">
        <v>3266.6499020000001</v>
      </c>
      <c r="E111" s="1">
        <v>3301.6000979999999</v>
      </c>
      <c r="F111" s="1">
        <v>3297.7060550000001</v>
      </c>
      <c r="G111" s="1">
        <v>847517</v>
      </c>
    </row>
    <row r="112" spans="1:7" x14ac:dyDescent="0.3">
      <c r="A112" s="2">
        <v>44442</v>
      </c>
      <c r="B112" s="1">
        <v>3301.6000979999999</v>
      </c>
      <c r="C112" s="1">
        <v>3344.9499510000001</v>
      </c>
      <c r="D112" s="1">
        <v>3286.5</v>
      </c>
      <c r="E112" s="1">
        <v>3338.8000489999999</v>
      </c>
      <c r="F112" s="1">
        <v>3334.8620609999998</v>
      </c>
      <c r="G112" s="1">
        <v>832039</v>
      </c>
    </row>
    <row r="113" spans="1:7" x14ac:dyDescent="0.3">
      <c r="A113" s="2">
        <v>44445</v>
      </c>
      <c r="B113" s="1">
        <v>3342</v>
      </c>
      <c r="C113" s="1">
        <v>3347.6999510000001</v>
      </c>
      <c r="D113" s="1">
        <v>3305.8999020000001</v>
      </c>
      <c r="E113" s="1">
        <v>3315.5500489999999</v>
      </c>
      <c r="F113" s="1">
        <v>3311.639404</v>
      </c>
      <c r="G113" s="1">
        <v>664394</v>
      </c>
    </row>
    <row r="114" spans="1:7" x14ac:dyDescent="0.3">
      <c r="A114" s="2">
        <v>44446</v>
      </c>
      <c r="B114" s="1">
        <v>3333.5</v>
      </c>
      <c r="C114" s="1">
        <v>3394.6000979999999</v>
      </c>
      <c r="D114" s="1">
        <v>3323.8500979999999</v>
      </c>
      <c r="E114" s="1">
        <v>3336.25</v>
      </c>
      <c r="F114" s="1">
        <v>3332.3149410000001</v>
      </c>
      <c r="G114" s="1">
        <v>1285818</v>
      </c>
    </row>
    <row r="115" spans="1:7" x14ac:dyDescent="0.3">
      <c r="A115" s="2">
        <v>44447</v>
      </c>
      <c r="B115" s="1">
        <v>3345</v>
      </c>
      <c r="C115" s="1">
        <v>3361.5500489999999</v>
      </c>
      <c r="D115" s="1">
        <v>3297</v>
      </c>
      <c r="E115" s="1">
        <v>3336.6000979999999</v>
      </c>
      <c r="F115" s="1">
        <v>3332.6647950000001</v>
      </c>
      <c r="G115" s="1">
        <v>702598</v>
      </c>
    </row>
    <row r="116" spans="1:7" x14ac:dyDescent="0.3">
      <c r="A116" s="2">
        <v>44448</v>
      </c>
      <c r="B116" s="1">
        <v>3305</v>
      </c>
      <c r="C116" s="1">
        <v>3359</v>
      </c>
      <c r="D116" s="1">
        <v>3305</v>
      </c>
      <c r="E116" s="1">
        <v>3346.3500979999999</v>
      </c>
      <c r="F116" s="1">
        <v>3342.4033199999999</v>
      </c>
      <c r="G116" s="1">
        <v>591745</v>
      </c>
    </row>
    <row r="117" spans="1:7" x14ac:dyDescent="0.3">
      <c r="A117" s="2">
        <v>44452</v>
      </c>
      <c r="B117" s="1">
        <v>3346.6000979999999</v>
      </c>
      <c r="C117" s="1">
        <v>3374</v>
      </c>
      <c r="D117" s="1">
        <v>3330.3500979999999</v>
      </c>
      <c r="E117" s="1">
        <v>3367.0500489999999</v>
      </c>
      <c r="F117" s="1">
        <v>3363.078857</v>
      </c>
      <c r="G117" s="1">
        <v>610920</v>
      </c>
    </row>
    <row r="118" spans="1:7" x14ac:dyDescent="0.3">
      <c r="A118" s="2">
        <v>44453</v>
      </c>
      <c r="B118" s="1">
        <v>3384.8999020000001</v>
      </c>
      <c r="C118" s="1">
        <v>3388.6000979999999</v>
      </c>
      <c r="D118" s="1">
        <v>3356.8500979999999</v>
      </c>
      <c r="E118" s="1">
        <v>3362.5</v>
      </c>
      <c r="F118" s="1">
        <v>3358.5341800000001</v>
      </c>
      <c r="G118" s="1">
        <v>569412</v>
      </c>
    </row>
    <row r="119" spans="1:7" x14ac:dyDescent="0.3">
      <c r="A119" s="2">
        <v>44454</v>
      </c>
      <c r="B119" s="1">
        <v>3361.8500979999999</v>
      </c>
      <c r="C119" s="1">
        <v>3383.9499510000001</v>
      </c>
      <c r="D119" s="1">
        <v>3346.9499510000001</v>
      </c>
      <c r="E119" s="1">
        <v>3352.3000489999999</v>
      </c>
      <c r="F119" s="1">
        <v>3348.3461910000001</v>
      </c>
      <c r="G119" s="1">
        <v>587855</v>
      </c>
    </row>
    <row r="120" spans="1:7" x14ac:dyDescent="0.3">
      <c r="A120" s="2">
        <v>44455</v>
      </c>
      <c r="B120" s="1">
        <v>3350</v>
      </c>
      <c r="C120" s="1">
        <v>3371</v>
      </c>
      <c r="D120" s="1">
        <v>3335</v>
      </c>
      <c r="E120" s="1">
        <v>3342.1000979999999</v>
      </c>
      <c r="F120" s="1">
        <v>3338.158203</v>
      </c>
      <c r="G120" s="1">
        <v>516746</v>
      </c>
    </row>
    <row r="121" spans="1:7" x14ac:dyDescent="0.3">
      <c r="A121" s="2">
        <v>44456</v>
      </c>
      <c r="B121" s="1">
        <v>3352</v>
      </c>
      <c r="C121" s="1">
        <v>3382</v>
      </c>
      <c r="D121" s="1">
        <v>3285.0500489999999</v>
      </c>
      <c r="E121" s="1">
        <v>3303.0500489999999</v>
      </c>
      <c r="F121" s="1">
        <v>3299.154297</v>
      </c>
      <c r="G121" s="1">
        <v>1545695</v>
      </c>
    </row>
    <row r="122" spans="1:7" x14ac:dyDescent="0.3">
      <c r="A122" s="2">
        <v>44459</v>
      </c>
      <c r="B122" s="1">
        <v>3299.9499510000001</v>
      </c>
      <c r="C122" s="1">
        <v>3315</v>
      </c>
      <c r="D122" s="1">
        <v>3265</v>
      </c>
      <c r="E122" s="1">
        <v>3271.5500489999999</v>
      </c>
      <c r="F122" s="1">
        <v>3267.6914059999999</v>
      </c>
      <c r="G122" s="1">
        <v>689288</v>
      </c>
    </row>
    <row r="123" spans="1:7" x14ac:dyDescent="0.3">
      <c r="A123" s="2">
        <v>44460</v>
      </c>
      <c r="B123" s="1">
        <v>3271.5500489999999</v>
      </c>
      <c r="C123" s="1">
        <v>3335</v>
      </c>
      <c r="D123" s="1">
        <v>3271</v>
      </c>
      <c r="E123" s="1">
        <v>3309.1999510000001</v>
      </c>
      <c r="F123" s="1">
        <v>3305.296875</v>
      </c>
      <c r="G123" s="1">
        <v>922057</v>
      </c>
    </row>
    <row r="124" spans="1:7" x14ac:dyDescent="0.3">
      <c r="A124" s="2">
        <v>44461</v>
      </c>
      <c r="B124" s="1">
        <v>3328.5</v>
      </c>
      <c r="C124" s="1">
        <v>3329.9499510000001</v>
      </c>
      <c r="D124" s="1">
        <v>3288.25</v>
      </c>
      <c r="E124" s="1">
        <v>3317.5</v>
      </c>
      <c r="F124" s="1">
        <v>3313.5871579999998</v>
      </c>
      <c r="G124" s="1">
        <v>825945</v>
      </c>
    </row>
    <row r="125" spans="1:7" x14ac:dyDescent="0.3">
      <c r="A125" s="2">
        <v>44462</v>
      </c>
      <c r="B125" s="1">
        <v>3340</v>
      </c>
      <c r="C125" s="1">
        <v>3340</v>
      </c>
      <c r="D125" s="1">
        <v>3315</v>
      </c>
      <c r="E125" s="1">
        <v>3320.6499020000001</v>
      </c>
      <c r="F125" s="1">
        <v>3316.7333979999999</v>
      </c>
      <c r="G125" s="1">
        <v>694716</v>
      </c>
    </row>
    <row r="126" spans="1:7" x14ac:dyDescent="0.3">
      <c r="A126" s="2">
        <v>44463</v>
      </c>
      <c r="B126" s="1">
        <v>3330</v>
      </c>
      <c r="C126" s="1">
        <v>3505</v>
      </c>
      <c r="D126" s="1">
        <v>3320.8500979999999</v>
      </c>
      <c r="E126" s="1">
        <v>3448.6000979999999</v>
      </c>
      <c r="F126" s="1">
        <v>3444.5327149999998</v>
      </c>
      <c r="G126" s="1">
        <v>2775975</v>
      </c>
    </row>
    <row r="127" spans="1:7" x14ac:dyDescent="0.3">
      <c r="A127" s="2">
        <v>44466</v>
      </c>
      <c r="B127" s="1">
        <v>3461.6000979999999</v>
      </c>
      <c r="C127" s="1">
        <v>3470</v>
      </c>
      <c r="D127" s="1">
        <v>3417.6499020000001</v>
      </c>
      <c r="E127" s="1">
        <v>3430.6499020000001</v>
      </c>
      <c r="F127" s="1">
        <v>3426.6035160000001</v>
      </c>
      <c r="G127" s="1">
        <v>902449</v>
      </c>
    </row>
    <row r="128" spans="1:7" x14ac:dyDescent="0.3">
      <c r="A128" s="2">
        <v>44467</v>
      </c>
      <c r="B128" s="1">
        <v>3424.8999020000001</v>
      </c>
      <c r="C128" s="1">
        <v>3429.6999510000001</v>
      </c>
      <c r="D128" s="1">
        <v>3350</v>
      </c>
      <c r="E128" s="1">
        <v>3379.6999510000001</v>
      </c>
      <c r="F128" s="1">
        <v>3375.7136230000001</v>
      </c>
      <c r="G128" s="1">
        <v>961271</v>
      </c>
    </row>
    <row r="129" spans="1:7" x14ac:dyDescent="0.3">
      <c r="A129" s="2">
        <v>44468</v>
      </c>
      <c r="B129" s="1">
        <v>3365</v>
      </c>
      <c r="C129" s="1">
        <v>3381.6999510000001</v>
      </c>
      <c r="D129" s="1">
        <v>3310</v>
      </c>
      <c r="E129" s="1">
        <v>3323.0500489999999</v>
      </c>
      <c r="F129" s="1">
        <v>3319.130615</v>
      </c>
      <c r="G129" s="1">
        <v>973387</v>
      </c>
    </row>
    <row r="130" spans="1:7" x14ac:dyDescent="0.3">
      <c r="A130" s="2">
        <v>44469</v>
      </c>
      <c r="B130" s="1">
        <v>3329.8999020000001</v>
      </c>
      <c r="C130" s="1">
        <v>3347.6999510000001</v>
      </c>
      <c r="D130" s="1">
        <v>3220</v>
      </c>
      <c r="E130" s="1">
        <v>3244.6499020000001</v>
      </c>
      <c r="F130" s="1">
        <v>3240.8229980000001</v>
      </c>
      <c r="G130" s="1">
        <v>2077896</v>
      </c>
    </row>
    <row r="131" spans="1:7" x14ac:dyDescent="0.3">
      <c r="A131" s="2">
        <v>44470</v>
      </c>
      <c r="B131" s="1">
        <v>3248</v>
      </c>
      <c r="C131" s="1">
        <v>3252.9499510000001</v>
      </c>
      <c r="D131" s="1">
        <v>3170</v>
      </c>
      <c r="E131" s="1">
        <v>3177.8500979999999</v>
      </c>
      <c r="F131" s="1">
        <v>3174.1020509999998</v>
      </c>
      <c r="G131" s="1">
        <v>1512332</v>
      </c>
    </row>
    <row r="132" spans="1:7" x14ac:dyDescent="0.3">
      <c r="A132" s="2">
        <v>44473</v>
      </c>
      <c r="B132" s="1">
        <v>3202.8000489999999</v>
      </c>
      <c r="C132" s="1">
        <v>3230.5</v>
      </c>
      <c r="D132" s="1">
        <v>3178</v>
      </c>
      <c r="E132" s="1">
        <v>3201.6000979999999</v>
      </c>
      <c r="F132" s="1">
        <v>3197.8239749999998</v>
      </c>
      <c r="G132" s="1">
        <v>921241</v>
      </c>
    </row>
    <row r="133" spans="1:7" x14ac:dyDescent="0.3">
      <c r="A133" s="2">
        <v>44474</v>
      </c>
      <c r="B133" s="1">
        <v>3208.5500489999999</v>
      </c>
      <c r="C133" s="1">
        <v>3260</v>
      </c>
      <c r="D133" s="1">
        <v>3191.6499020000001</v>
      </c>
      <c r="E133" s="1">
        <v>3254.75</v>
      </c>
      <c r="F133" s="1">
        <v>3250.9111330000001</v>
      </c>
      <c r="G133" s="1">
        <v>909337</v>
      </c>
    </row>
    <row r="134" spans="1:7" x14ac:dyDescent="0.3">
      <c r="A134" s="2">
        <v>44475</v>
      </c>
      <c r="B134" s="1">
        <v>3262</v>
      </c>
      <c r="C134" s="1">
        <v>3280</v>
      </c>
      <c r="D134" s="1">
        <v>3200.6499020000001</v>
      </c>
      <c r="E134" s="1">
        <v>3212.25</v>
      </c>
      <c r="F134" s="1">
        <v>3208.461182</v>
      </c>
      <c r="G134" s="1">
        <v>786378</v>
      </c>
    </row>
    <row r="135" spans="1:7" x14ac:dyDescent="0.3">
      <c r="A135" s="2">
        <v>44476</v>
      </c>
      <c r="B135" s="1">
        <v>3220</v>
      </c>
      <c r="C135" s="1">
        <v>3318</v>
      </c>
      <c r="D135" s="1">
        <v>3220</v>
      </c>
      <c r="E135" s="1">
        <v>3290.8500979999999</v>
      </c>
      <c r="F135" s="1">
        <v>3286.96875</v>
      </c>
      <c r="G135" s="1">
        <v>1177283</v>
      </c>
    </row>
    <row r="136" spans="1:7" x14ac:dyDescent="0.3">
      <c r="A136" s="2">
        <v>44477</v>
      </c>
      <c r="B136" s="1">
        <v>3307</v>
      </c>
      <c r="C136" s="1">
        <v>3329</v>
      </c>
      <c r="D136" s="1">
        <v>3264.1000979999999</v>
      </c>
      <c r="E136" s="1">
        <v>3306.8999020000001</v>
      </c>
      <c r="F136" s="1">
        <v>3302.9995119999999</v>
      </c>
      <c r="G136" s="1">
        <v>882436</v>
      </c>
    </row>
    <row r="137" spans="1:7" x14ac:dyDescent="0.3">
      <c r="A137" s="2">
        <v>44480</v>
      </c>
      <c r="B137" s="1">
        <v>3326.3999020000001</v>
      </c>
      <c r="C137" s="1">
        <v>3344.3500979999999</v>
      </c>
      <c r="D137" s="1">
        <v>3297.75</v>
      </c>
      <c r="E137" s="1">
        <v>3306.0500489999999</v>
      </c>
      <c r="F137" s="1">
        <v>3302.150635</v>
      </c>
      <c r="G137" s="1">
        <v>460197</v>
      </c>
    </row>
    <row r="138" spans="1:7" x14ac:dyDescent="0.3">
      <c r="A138" s="2">
        <v>44481</v>
      </c>
      <c r="B138" s="1">
        <v>3280</v>
      </c>
      <c r="C138" s="1">
        <v>3335</v>
      </c>
      <c r="D138" s="1">
        <v>3280</v>
      </c>
      <c r="E138" s="1">
        <v>3323.25</v>
      </c>
      <c r="F138" s="1">
        <v>3319.3303219999998</v>
      </c>
      <c r="G138" s="1">
        <v>564524</v>
      </c>
    </row>
    <row r="139" spans="1:7" x14ac:dyDescent="0.3">
      <c r="A139" s="2">
        <v>44482</v>
      </c>
      <c r="B139" s="1">
        <v>3343</v>
      </c>
      <c r="C139" s="1">
        <v>3358.8999020000001</v>
      </c>
      <c r="D139" s="1">
        <v>3291.3999020000001</v>
      </c>
      <c r="E139" s="1">
        <v>3323.5</v>
      </c>
      <c r="F139" s="1">
        <v>3319.580078</v>
      </c>
      <c r="G139" s="1">
        <v>770144</v>
      </c>
    </row>
    <row r="140" spans="1:7" x14ac:dyDescent="0.3">
      <c r="A140" s="2">
        <v>44483</v>
      </c>
      <c r="B140" s="1">
        <v>3342</v>
      </c>
      <c r="C140" s="1">
        <v>3352.9499510000001</v>
      </c>
      <c r="D140" s="1">
        <v>3290</v>
      </c>
      <c r="E140" s="1">
        <v>3297.8000489999999</v>
      </c>
      <c r="F140" s="1">
        <v>3293.9104000000002</v>
      </c>
      <c r="G140" s="1">
        <v>648597</v>
      </c>
    </row>
    <row r="141" spans="1:7" x14ac:dyDescent="0.3">
      <c r="A141" s="2">
        <v>44487</v>
      </c>
      <c r="B141" s="1">
        <v>3252.5</v>
      </c>
      <c r="C141" s="1">
        <v>3283.9499510000001</v>
      </c>
      <c r="D141" s="1">
        <v>3232</v>
      </c>
      <c r="E141" s="1">
        <v>3241.5</v>
      </c>
      <c r="F141" s="1">
        <v>3237.6767580000001</v>
      </c>
      <c r="G141" s="1">
        <v>1576121</v>
      </c>
    </row>
    <row r="142" spans="1:7" x14ac:dyDescent="0.3">
      <c r="A142" s="2">
        <v>44488</v>
      </c>
      <c r="B142" s="1">
        <v>3260.8999020000001</v>
      </c>
      <c r="C142" s="1">
        <v>3269.1000979999999</v>
      </c>
      <c r="D142" s="1">
        <v>3176.1000979999999</v>
      </c>
      <c r="E142" s="1">
        <v>3183.75</v>
      </c>
      <c r="F142" s="1">
        <v>3179.9948730000001</v>
      </c>
      <c r="G142" s="1">
        <v>1042069</v>
      </c>
    </row>
    <row r="143" spans="1:7" x14ac:dyDescent="0.3">
      <c r="A143" s="2">
        <v>44489</v>
      </c>
      <c r="B143" s="1">
        <v>3190</v>
      </c>
      <c r="C143" s="1">
        <v>3219.9499510000001</v>
      </c>
      <c r="D143" s="1">
        <v>3136.6499020000001</v>
      </c>
      <c r="E143" s="1">
        <v>3169.6000979999999</v>
      </c>
      <c r="F143" s="1">
        <v>3165.8615719999998</v>
      </c>
      <c r="G143" s="1">
        <v>1205540</v>
      </c>
    </row>
    <row r="144" spans="1:7" x14ac:dyDescent="0.3">
      <c r="A144" s="2">
        <v>44490</v>
      </c>
      <c r="B144" s="1">
        <v>3194</v>
      </c>
      <c r="C144" s="1">
        <v>3195.4499510000001</v>
      </c>
      <c r="D144" s="1">
        <v>2920.4499510000001</v>
      </c>
      <c r="E144" s="1">
        <v>3002</v>
      </c>
      <c r="F144" s="1">
        <v>2998.4592290000001</v>
      </c>
      <c r="G144" s="1">
        <v>5103543</v>
      </c>
    </row>
    <row r="145" spans="1:7" x14ac:dyDescent="0.3">
      <c r="A145" s="2">
        <v>44491</v>
      </c>
      <c r="B145" s="1">
        <v>2975</v>
      </c>
      <c r="C145" s="1">
        <v>3002.9499510000001</v>
      </c>
      <c r="D145" s="1">
        <v>2912.1499020000001</v>
      </c>
      <c r="E145" s="1">
        <v>2982.3999020000001</v>
      </c>
      <c r="F145" s="1">
        <v>2978.8823240000002</v>
      </c>
      <c r="G145" s="1">
        <v>2855592</v>
      </c>
    </row>
    <row r="146" spans="1:7" x14ac:dyDescent="0.3">
      <c r="A146" s="2">
        <v>44494</v>
      </c>
      <c r="B146" s="1">
        <v>2950</v>
      </c>
      <c r="C146" s="1">
        <v>2950</v>
      </c>
      <c r="D146" s="1">
        <v>2857.25</v>
      </c>
      <c r="E146" s="1">
        <v>2918.0500489999999</v>
      </c>
      <c r="F146" s="1">
        <v>2914.6083979999999</v>
      </c>
      <c r="G146" s="1">
        <v>2161537</v>
      </c>
    </row>
    <row r="147" spans="1:7" x14ac:dyDescent="0.3">
      <c r="A147" s="2">
        <v>44495</v>
      </c>
      <c r="B147" s="1">
        <v>2918.0500489999999</v>
      </c>
      <c r="C147" s="1">
        <v>3024</v>
      </c>
      <c r="D147" s="1">
        <v>2898</v>
      </c>
      <c r="E147" s="1">
        <v>2969.8000489999999</v>
      </c>
      <c r="F147" s="1">
        <v>2966.2973630000001</v>
      </c>
      <c r="G147" s="1">
        <v>1988263</v>
      </c>
    </row>
    <row r="148" spans="1:7" x14ac:dyDescent="0.3">
      <c r="A148" s="2">
        <v>44496</v>
      </c>
      <c r="B148" s="1">
        <v>3029.1999510000001</v>
      </c>
      <c r="C148" s="1">
        <v>3145</v>
      </c>
      <c r="D148" s="1">
        <v>3029.1999510000001</v>
      </c>
      <c r="E148" s="1">
        <v>3094.6499020000001</v>
      </c>
      <c r="F148" s="1">
        <v>3091</v>
      </c>
      <c r="G148" s="1">
        <v>4609951</v>
      </c>
    </row>
    <row r="149" spans="1:7" x14ac:dyDescent="0.3">
      <c r="A149" s="2">
        <v>44497</v>
      </c>
      <c r="B149" s="1">
        <v>3103</v>
      </c>
      <c r="C149" s="1">
        <v>3147.6000979999999</v>
      </c>
      <c r="D149" s="1">
        <v>3062</v>
      </c>
      <c r="E149" s="1">
        <v>3116.3000489999999</v>
      </c>
      <c r="F149" s="1">
        <v>3116.3000489999999</v>
      </c>
      <c r="G149" s="1">
        <v>1791065</v>
      </c>
    </row>
    <row r="150" spans="1:7" x14ac:dyDescent="0.3">
      <c r="A150" s="2">
        <v>44498</v>
      </c>
      <c r="B150" s="1">
        <v>3125</v>
      </c>
      <c r="C150" s="1">
        <v>3144.6999510000001</v>
      </c>
      <c r="D150" s="1">
        <v>3083.3000489999999</v>
      </c>
      <c r="E150" s="1">
        <v>3100.1000979999999</v>
      </c>
      <c r="F150" s="1">
        <v>3100.1000979999999</v>
      </c>
      <c r="G150" s="1">
        <v>1118903</v>
      </c>
    </row>
    <row r="151" spans="1:7" x14ac:dyDescent="0.3">
      <c r="A151" s="2">
        <v>44501</v>
      </c>
      <c r="B151" s="1">
        <v>3128</v>
      </c>
      <c r="C151" s="1">
        <v>3142.25</v>
      </c>
      <c r="D151" s="1">
        <v>3091.6499020000001</v>
      </c>
      <c r="E151" s="1">
        <v>3121.8000489999999</v>
      </c>
      <c r="F151" s="1">
        <v>3121.8000489999999</v>
      </c>
      <c r="G151" s="1">
        <v>750393</v>
      </c>
    </row>
    <row r="152" spans="1:7" x14ac:dyDescent="0.3">
      <c r="A152" s="2">
        <v>44502</v>
      </c>
      <c r="B152" s="1">
        <v>3120</v>
      </c>
      <c r="C152" s="1">
        <v>3139.8000489999999</v>
      </c>
      <c r="D152" s="1">
        <v>3080</v>
      </c>
      <c r="E152" s="1">
        <v>3103.3500979999999</v>
      </c>
      <c r="F152" s="1">
        <v>3103.3500979999999</v>
      </c>
      <c r="G152" s="1">
        <v>881916</v>
      </c>
    </row>
    <row r="153" spans="1:7" x14ac:dyDescent="0.3">
      <c r="A153" s="2">
        <v>44503</v>
      </c>
      <c r="B153" s="1">
        <v>3102.1000979999999</v>
      </c>
      <c r="C153" s="1">
        <v>3182.8999020000001</v>
      </c>
      <c r="D153" s="1">
        <v>3095</v>
      </c>
      <c r="E153" s="1">
        <v>3170.6499020000001</v>
      </c>
      <c r="F153" s="1">
        <v>3170.6499020000001</v>
      </c>
      <c r="G153" s="1">
        <v>879227</v>
      </c>
    </row>
    <row r="154" spans="1:7" x14ac:dyDescent="0.3">
      <c r="A154" s="2">
        <v>44504</v>
      </c>
      <c r="B154" s="1">
        <v>3179</v>
      </c>
      <c r="C154" s="1">
        <v>3190</v>
      </c>
      <c r="D154" s="1">
        <v>3145</v>
      </c>
      <c r="E154" s="1">
        <v>3159.25</v>
      </c>
      <c r="F154" s="1">
        <v>3159.25</v>
      </c>
      <c r="G154" s="1">
        <v>263595</v>
      </c>
    </row>
    <row r="155" spans="1:7" x14ac:dyDescent="0.3">
      <c r="A155" s="2">
        <v>44508</v>
      </c>
      <c r="B155" s="1">
        <v>3165</v>
      </c>
      <c r="C155" s="1">
        <v>3181</v>
      </c>
      <c r="D155" s="1">
        <v>3095.1499020000001</v>
      </c>
      <c r="E155" s="1">
        <v>3138</v>
      </c>
      <c r="F155" s="1">
        <v>3138</v>
      </c>
      <c r="G155" s="1">
        <v>787824</v>
      </c>
    </row>
    <row r="156" spans="1:7" x14ac:dyDescent="0.3">
      <c r="A156" s="2">
        <v>44509</v>
      </c>
      <c r="B156" s="1">
        <v>3140</v>
      </c>
      <c r="C156" s="1">
        <v>3155</v>
      </c>
      <c r="D156" s="1">
        <v>3120</v>
      </c>
      <c r="E156" s="1">
        <v>3145.1499020000001</v>
      </c>
      <c r="F156" s="1">
        <v>3145.1499020000001</v>
      </c>
      <c r="G156" s="1">
        <v>668840</v>
      </c>
    </row>
    <row r="157" spans="1:7" x14ac:dyDescent="0.3">
      <c r="A157" s="2">
        <v>44510</v>
      </c>
      <c r="B157" s="1">
        <v>3132</v>
      </c>
      <c r="C157" s="1">
        <v>3136.6499020000001</v>
      </c>
      <c r="D157" s="1">
        <v>3080.5</v>
      </c>
      <c r="E157" s="1">
        <v>3108.3000489999999</v>
      </c>
      <c r="F157" s="1">
        <v>3108.3000489999999</v>
      </c>
      <c r="G157" s="1">
        <v>872975</v>
      </c>
    </row>
    <row r="158" spans="1:7" x14ac:dyDescent="0.3">
      <c r="A158" s="2">
        <v>44511</v>
      </c>
      <c r="B158" s="1">
        <v>3090</v>
      </c>
      <c r="C158" s="1">
        <v>3106.6499020000001</v>
      </c>
      <c r="D158" s="1">
        <v>3052</v>
      </c>
      <c r="E158" s="1">
        <v>3063.5</v>
      </c>
      <c r="F158" s="1">
        <v>3063.5</v>
      </c>
      <c r="G158" s="1">
        <v>958143</v>
      </c>
    </row>
    <row r="159" spans="1:7" x14ac:dyDescent="0.3">
      <c r="A159" s="2">
        <v>44512</v>
      </c>
      <c r="B159" s="1">
        <v>3089</v>
      </c>
      <c r="C159" s="1">
        <v>3128</v>
      </c>
      <c r="D159" s="1">
        <v>3075.8000489999999</v>
      </c>
      <c r="E159" s="1">
        <v>3122.8999020000001</v>
      </c>
      <c r="F159" s="1">
        <v>3122.8999020000001</v>
      </c>
      <c r="G159" s="1">
        <v>682344</v>
      </c>
    </row>
    <row r="160" spans="1:7" x14ac:dyDescent="0.3">
      <c r="A160" s="2">
        <v>44515</v>
      </c>
      <c r="B160" s="1">
        <v>3126</v>
      </c>
      <c r="C160" s="1">
        <v>3180</v>
      </c>
      <c r="D160" s="1">
        <v>3126</v>
      </c>
      <c r="E160" s="1">
        <v>3168.6999510000001</v>
      </c>
      <c r="F160" s="1">
        <v>3168.6999510000001</v>
      </c>
      <c r="G160" s="1">
        <v>696377</v>
      </c>
    </row>
    <row r="161" spans="1:7" x14ac:dyDescent="0.3">
      <c r="A161" s="2">
        <v>44516</v>
      </c>
      <c r="B161" s="1">
        <v>3165</v>
      </c>
      <c r="C161" s="1">
        <v>3209</v>
      </c>
      <c r="D161" s="1">
        <v>3120.1000979999999</v>
      </c>
      <c r="E161" s="1">
        <v>3151.6999510000001</v>
      </c>
      <c r="F161" s="1">
        <v>3151.6999510000001</v>
      </c>
      <c r="G161" s="1">
        <v>1400107</v>
      </c>
    </row>
    <row r="162" spans="1:7" x14ac:dyDescent="0.3">
      <c r="A162" s="2">
        <v>44517</v>
      </c>
      <c r="B162" s="1">
        <v>3170</v>
      </c>
      <c r="C162" s="1">
        <v>3239.8999020000001</v>
      </c>
      <c r="D162" s="1">
        <v>3165.0500489999999</v>
      </c>
      <c r="E162" s="1">
        <v>3230.25</v>
      </c>
      <c r="F162" s="1">
        <v>3230.25</v>
      </c>
      <c r="G162" s="1">
        <v>1616452</v>
      </c>
    </row>
    <row r="163" spans="1:7" x14ac:dyDescent="0.3">
      <c r="A163" s="2">
        <v>44518</v>
      </c>
      <c r="B163" s="1">
        <v>3249.8500979999999</v>
      </c>
      <c r="C163" s="1">
        <v>3260</v>
      </c>
      <c r="D163" s="1">
        <v>3214</v>
      </c>
      <c r="E163" s="1">
        <v>3226.8500979999999</v>
      </c>
      <c r="F163" s="1">
        <v>3226.8500979999999</v>
      </c>
      <c r="G163" s="1">
        <v>1609821</v>
      </c>
    </row>
    <row r="164" spans="1:7" x14ac:dyDescent="0.3">
      <c r="A164" s="2">
        <v>44522</v>
      </c>
      <c r="B164" s="1">
        <v>3241</v>
      </c>
      <c r="C164" s="1">
        <v>3308.3500979999999</v>
      </c>
      <c r="D164" s="1">
        <v>3215.0500489999999</v>
      </c>
      <c r="E164" s="1">
        <v>3261.25</v>
      </c>
      <c r="F164" s="1">
        <v>3261.25</v>
      </c>
      <c r="G164" s="1">
        <v>2146970</v>
      </c>
    </row>
    <row r="165" spans="1:7" x14ac:dyDescent="0.3">
      <c r="A165" s="2">
        <v>44523</v>
      </c>
      <c r="B165" s="1">
        <v>3261.25</v>
      </c>
      <c r="C165" s="1">
        <v>3288.3000489999999</v>
      </c>
      <c r="D165" s="1">
        <v>3171.5500489999999</v>
      </c>
      <c r="E165" s="1">
        <v>3185.5500489999999</v>
      </c>
      <c r="F165" s="1">
        <v>3185.5500489999999</v>
      </c>
      <c r="G165" s="1">
        <v>1482618</v>
      </c>
    </row>
    <row r="166" spans="1:7" x14ac:dyDescent="0.3">
      <c r="A166" s="2">
        <v>44524</v>
      </c>
      <c r="B166" s="1">
        <v>3186.0500489999999</v>
      </c>
      <c r="C166" s="1">
        <v>3208.8999020000001</v>
      </c>
      <c r="D166" s="1">
        <v>3150</v>
      </c>
      <c r="E166" s="1">
        <v>3157</v>
      </c>
      <c r="F166" s="1">
        <v>3157</v>
      </c>
      <c r="G166" s="1">
        <v>1056213</v>
      </c>
    </row>
    <row r="167" spans="1:7" x14ac:dyDescent="0.3">
      <c r="A167" s="2">
        <v>44525</v>
      </c>
      <c r="B167" s="1">
        <v>3156.5</v>
      </c>
      <c r="C167" s="1">
        <v>3173.3500979999999</v>
      </c>
      <c r="D167" s="1">
        <v>3113</v>
      </c>
      <c r="E167" s="1">
        <v>3144.25</v>
      </c>
      <c r="F167" s="1">
        <v>3144.25</v>
      </c>
      <c r="G167" s="1">
        <v>728825</v>
      </c>
    </row>
    <row r="168" spans="1:7" x14ac:dyDescent="0.3">
      <c r="A168" s="2">
        <v>44526</v>
      </c>
      <c r="B168" s="1">
        <v>3101</v>
      </c>
      <c r="C168" s="1">
        <v>3167.3500979999999</v>
      </c>
      <c r="D168" s="1">
        <v>3091</v>
      </c>
      <c r="E168" s="1">
        <v>3143.1000979999999</v>
      </c>
      <c r="F168" s="1">
        <v>3143.1000979999999</v>
      </c>
      <c r="G168" s="1">
        <v>1029110</v>
      </c>
    </row>
    <row r="169" spans="1:7" x14ac:dyDescent="0.3">
      <c r="A169" s="2">
        <v>44529</v>
      </c>
      <c r="B169" s="1">
        <v>3131</v>
      </c>
      <c r="C169" s="1">
        <v>3178.8999020000001</v>
      </c>
      <c r="D169" s="1">
        <v>3071.8999020000001</v>
      </c>
      <c r="E169" s="1">
        <v>3144.3000489999999</v>
      </c>
      <c r="F169" s="1">
        <v>3144.3000489999999</v>
      </c>
      <c r="G169" s="1">
        <v>876651</v>
      </c>
    </row>
    <row r="170" spans="1:7" x14ac:dyDescent="0.3">
      <c r="A170" s="2">
        <v>44530</v>
      </c>
      <c r="B170" s="1">
        <v>3116.1499020000001</v>
      </c>
      <c r="C170" s="1">
        <v>3189</v>
      </c>
      <c r="D170" s="1">
        <v>3116.1499020000001</v>
      </c>
      <c r="E170" s="1">
        <v>3143.6499020000001</v>
      </c>
      <c r="F170" s="1">
        <v>3143.6499020000001</v>
      </c>
      <c r="G170" s="1">
        <v>2340489</v>
      </c>
    </row>
    <row r="171" spans="1:7" x14ac:dyDescent="0.3">
      <c r="A171" s="2">
        <v>44531</v>
      </c>
      <c r="B171" s="1">
        <v>3155.8999020000001</v>
      </c>
      <c r="C171" s="1">
        <v>3199.75</v>
      </c>
      <c r="D171" s="1">
        <v>3124.1000979999999</v>
      </c>
      <c r="E171" s="1">
        <v>3138.1499020000001</v>
      </c>
      <c r="F171" s="1">
        <v>3138.1499020000001</v>
      </c>
      <c r="G171" s="1">
        <v>1741820</v>
      </c>
    </row>
    <row r="172" spans="1:7" x14ac:dyDescent="0.3">
      <c r="A172" s="2">
        <v>44532</v>
      </c>
      <c r="B172" s="1">
        <v>3160</v>
      </c>
      <c r="C172" s="1">
        <v>3194</v>
      </c>
      <c r="D172" s="1">
        <v>3152.25</v>
      </c>
      <c r="E172" s="1">
        <v>3180.6000979999999</v>
      </c>
      <c r="F172" s="1">
        <v>3180.6000979999999</v>
      </c>
      <c r="G172" s="1">
        <v>939320</v>
      </c>
    </row>
    <row r="173" spans="1:7" x14ac:dyDescent="0.3">
      <c r="A173" s="2">
        <v>44533</v>
      </c>
      <c r="B173" s="1">
        <v>3185</v>
      </c>
      <c r="C173" s="1">
        <v>3187.4499510000001</v>
      </c>
      <c r="D173" s="1">
        <v>3106</v>
      </c>
      <c r="E173" s="1">
        <v>3110.4499510000001</v>
      </c>
      <c r="F173" s="1">
        <v>3110.4499510000001</v>
      </c>
      <c r="G173" s="1">
        <v>1216263</v>
      </c>
    </row>
    <row r="174" spans="1:7" x14ac:dyDescent="0.3">
      <c r="A174" s="2">
        <v>44536</v>
      </c>
      <c r="B174" s="1">
        <v>3115</v>
      </c>
      <c r="C174" s="1">
        <v>3115</v>
      </c>
      <c r="D174" s="1">
        <v>3028.25</v>
      </c>
      <c r="E174" s="1">
        <v>3038.3000489999999</v>
      </c>
      <c r="F174" s="1">
        <v>3038.3000489999999</v>
      </c>
      <c r="G174" s="1">
        <v>1107363</v>
      </c>
    </row>
    <row r="175" spans="1:7" x14ac:dyDescent="0.3">
      <c r="A175" s="2">
        <v>44537</v>
      </c>
      <c r="B175" s="1">
        <v>3040</v>
      </c>
      <c r="C175" s="1">
        <v>3069</v>
      </c>
      <c r="D175" s="1">
        <v>3016.4499510000001</v>
      </c>
      <c r="E175" s="1">
        <v>3030.3500979999999</v>
      </c>
      <c r="F175" s="1">
        <v>3030.3500979999999</v>
      </c>
      <c r="G175" s="1">
        <v>2056459</v>
      </c>
    </row>
    <row r="176" spans="1:7" x14ac:dyDescent="0.3">
      <c r="A176" s="2">
        <v>44538</v>
      </c>
      <c r="B176" s="1">
        <v>3031.8999020000001</v>
      </c>
      <c r="C176" s="1">
        <v>3123</v>
      </c>
      <c r="D176" s="1">
        <v>3031</v>
      </c>
      <c r="E176" s="1">
        <v>3108.5</v>
      </c>
      <c r="F176" s="1">
        <v>3108.5</v>
      </c>
      <c r="G176" s="1">
        <v>1171484</v>
      </c>
    </row>
    <row r="177" spans="1:7" x14ac:dyDescent="0.3">
      <c r="A177" s="2">
        <v>44539</v>
      </c>
      <c r="B177" s="1">
        <v>3152.3999020000001</v>
      </c>
      <c r="C177" s="1">
        <v>3183.0500489999999</v>
      </c>
      <c r="D177" s="1">
        <v>3111</v>
      </c>
      <c r="E177" s="1">
        <v>3178.6999510000001</v>
      </c>
      <c r="F177" s="1">
        <v>3178.6999510000001</v>
      </c>
      <c r="G177" s="1">
        <v>1287243</v>
      </c>
    </row>
    <row r="178" spans="1:7" x14ac:dyDescent="0.3">
      <c r="A178" s="2">
        <v>44540</v>
      </c>
      <c r="B178" s="1">
        <v>3184</v>
      </c>
      <c r="C178" s="1">
        <v>3292</v>
      </c>
      <c r="D178" s="1">
        <v>3178.6999510000001</v>
      </c>
      <c r="E178" s="1">
        <v>3283.1499020000001</v>
      </c>
      <c r="F178" s="1">
        <v>3283.1499020000001</v>
      </c>
      <c r="G178" s="1">
        <v>2554394</v>
      </c>
    </row>
    <row r="179" spans="1:7" x14ac:dyDescent="0.3">
      <c r="A179" s="2">
        <v>44543</v>
      </c>
      <c r="B179" s="1">
        <v>3285.1000979999999</v>
      </c>
      <c r="C179" s="1">
        <v>3341</v>
      </c>
      <c r="D179" s="1">
        <v>3270.9499510000001</v>
      </c>
      <c r="E179" s="1">
        <v>3279.8500979999999</v>
      </c>
      <c r="F179" s="1">
        <v>3279.8500979999999</v>
      </c>
      <c r="G179" s="1">
        <v>1265832</v>
      </c>
    </row>
    <row r="180" spans="1:7" x14ac:dyDescent="0.3">
      <c r="A180" s="2">
        <v>44544</v>
      </c>
      <c r="B180" s="1">
        <v>3274</v>
      </c>
      <c r="C180" s="1">
        <v>3305</v>
      </c>
      <c r="D180" s="1">
        <v>3249</v>
      </c>
      <c r="E180" s="1">
        <v>3297.5</v>
      </c>
      <c r="F180" s="1">
        <v>3297.5</v>
      </c>
      <c r="G180" s="1">
        <v>863179</v>
      </c>
    </row>
    <row r="181" spans="1:7" x14ac:dyDescent="0.3">
      <c r="A181" s="2">
        <v>44545</v>
      </c>
      <c r="B181" s="1">
        <v>3278.1499020000001</v>
      </c>
      <c r="C181" s="1">
        <v>3313.9499510000001</v>
      </c>
      <c r="D181" s="1">
        <v>3266.5</v>
      </c>
      <c r="E181" s="1">
        <v>3301.9499510000001</v>
      </c>
      <c r="F181" s="1">
        <v>3301.9499510000001</v>
      </c>
      <c r="G181" s="1">
        <v>811946</v>
      </c>
    </row>
    <row r="182" spans="1:7" x14ac:dyDescent="0.3">
      <c r="A182" s="2">
        <v>44546</v>
      </c>
      <c r="B182" s="1">
        <v>3325</v>
      </c>
      <c r="C182" s="1">
        <v>3325</v>
      </c>
      <c r="D182" s="1">
        <v>3270.6000979999999</v>
      </c>
      <c r="E182" s="1">
        <v>3298.6000979999999</v>
      </c>
      <c r="F182" s="1">
        <v>3298.6000979999999</v>
      </c>
      <c r="G182" s="1">
        <v>502930</v>
      </c>
    </row>
    <row r="183" spans="1:7" x14ac:dyDescent="0.3">
      <c r="A183" s="2">
        <v>44547</v>
      </c>
      <c r="B183" s="1">
        <v>3275</v>
      </c>
      <c r="C183" s="1">
        <v>3293.3000489999999</v>
      </c>
      <c r="D183" s="1">
        <v>3227.6999510000001</v>
      </c>
      <c r="E183" s="1">
        <v>3243.6999510000001</v>
      </c>
      <c r="F183" s="1">
        <v>3243.6999510000001</v>
      </c>
      <c r="G183" s="1">
        <v>1019403</v>
      </c>
    </row>
    <row r="184" spans="1:7" x14ac:dyDescent="0.3">
      <c r="A184" s="2">
        <v>44550</v>
      </c>
      <c r="B184" s="1">
        <v>3227</v>
      </c>
      <c r="C184" s="1">
        <v>3275</v>
      </c>
      <c r="D184" s="1">
        <v>3181</v>
      </c>
      <c r="E184" s="1">
        <v>3239.4499510000001</v>
      </c>
      <c r="F184" s="1">
        <v>3239.4499510000001</v>
      </c>
      <c r="G184" s="1">
        <v>948872</v>
      </c>
    </row>
    <row r="185" spans="1:7" x14ac:dyDescent="0.3">
      <c r="A185" s="2">
        <v>44551</v>
      </c>
      <c r="B185" s="1">
        <v>3247</v>
      </c>
      <c r="C185" s="1">
        <v>3296</v>
      </c>
      <c r="D185" s="1">
        <v>3240</v>
      </c>
      <c r="E185" s="1">
        <v>3271.3500979999999</v>
      </c>
      <c r="F185" s="1">
        <v>3271.3500979999999</v>
      </c>
      <c r="G185" s="1">
        <v>712026</v>
      </c>
    </row>
    <row r="186" spans="1:7" x14ac:dyDescent="0.3">
      <c r="A186" s="2">
        <v>44552</v>
      </c>
      <c r="B186" s="1">
        <v>3275.6999510000001</v>
      </c>
      <c r="C186" s="1">
        <v>3285.6499020000001</v>
      </c>
      <c r="D186" s="1">
        <v>3241</v>
      </c>
      <c r="E186" s="1">
        <v>3280.1000979999999</v>
      </c>
      <c r="F186" s="1">
        <v>3280.1000979999999</v>
      </c>
      <c r="G186" s="1">
        <v>619865</v>
      </c>
    </row>
    <row r="187" spans="1:7" x14ac:dyDescent="0.3">
      <c r="A187" s="2">
        <v>44553</v>
      </c>
      <c r="B187" s="1">
        <v>3290</v>
      </c>
      <c r="C187" s="1">
        <v>3307.8999020000001</v>
      </c>
      <c r="D187" s="1">
        <v>3250</v>
      </c>
      <c r="E187" s="1">
        <v>3267.8999020000001</v>
      </c>
      <c r="F187" s="1">
        <v>3267.8999020000001</v>
      </c>
      <c r="G187" s="1">
        <v>1051596</v>
      </c>
    </row>
    <row r="188" spans="1:7" x14ac:dyDescent="0.3">
      <c r="A188" s="2">
        <v>44554</v>
      </c>
      <c r="B188" s="1">
        <v>3280</v>
      </c>
      <c r="C188" s="1">
        <v>3300</v>
      </c>
      <c r="D188" s="1">
        <v>3261</v>
      </c>
      <c r="E188" s="1">
        <v>3284.8000489999999</v>
      </c>
      <c r="F188" s="1">
        <v>3284.8000489999999</v>
      </c>
      <c r="G188" s="1">
        <v>651404</v>
      </c>
    </row>
    <row r="189" spans="1:7" x14ac:dyDescent="0.3">
      <c r="A189" s="2">
        <v>44557</v>
      </c>
      <c r="B189" s="1">
        <v>3280.1000979999999</v>
      </c>
      <c r="C189" s="1">
        <v>3284.75</v>
      </c>
      <c r="D189" s="1">
        <v>3226.1999510000001</v>
      </c>
      <c r="E189" s="1">
        <v>3272.3999020000001</v>
      </c>
      <c r="F189" s="1">
        <v>3272.3999020000001</v>
      </c>
      <c r="G189" s="1">
        <v>640701</v>
      </c>
    </row>
    <row r="190" spans="1:7" x14ac:dyDescent="0.3">
      <c r="A190" s="2">
        <v>44558</v>
      </c>
      <c r="B190" s="1">
        <v>3275.9499510000001</v>
      </c>
      <c r="C190" s="1">
        <v>3375</v>
      </c>
      <c r="D190" s="1">
        <v>3273</v>
      </c>
      <c r="E190" s="1">
        <v>3368.1999510000001</v>
      </c>
      <c r="F190" s="1">
        <v>3368.1999510000001</v>
      </c>
      <c r="G190" s="1">
        <v>1211648</v>
      </c>
    </row>
    <row r="191" spans="1:7" x14ac:dyDescent="0.3">
      <c r="A191" s="2">
        <v>44559</v>
      </c>
      <c r="B191" s="1">
        <v>3372.1999510000001</v>
      </c>
      <c r="C191" s="1">
        <v>3386</v>
      </c>
      <c r="D191" s="1">
        <v>3346.1999510000001</v>
      </c>
      <c r="E191" s="1">
        <v>3367.4499510000001</v>
      </c>
      <c r="F191" s="1">
        <v>3367.4499510000001</v>
      </c>
      <c r="G191" s="1">
        <v>598421</v>
      </c>
    </row>
    <row r="192" spans="1:7" x14ac:dyDescent="0.3">
      <c r="A192" s="2">
        <v>44560</v>
      </c>
      <c r="B192" s="1">
        <v>3363.25</v>
      </c>
      <c r="C192" s="1">
        <v>3390</v>
      </c>
      <c r="D192" s="1">
        <v>3350.3000489999999</v>
      </c>
      <c r="E192" s="1">
        <v>3365.6999510000001</v>
      </c>
      <c r="F192" s="1">
        <v>3365.6999510000001</v>
      </c>
      <c r="G192" s="1">
        <v>691223</v>
      </c>
    </row>
    <row r="193" spans="1:7" x14ac:dyDescent="0.3">
      <c r="A193" s="2">
        <v>44561</v>
      </c>
      <c r="B193" s="1">
        <v>3390</v>
      </c>
      <c r="C193" s="1">
        <v>3405</v>
      </c>
      <c r="D193" s="1">
        <v>3361.3999020000001</v>
      </c>
      <c r="E193" s="1">
        <v>3382.9499510000001</v>
      </c>
      <c r="F193" s="1">
        <v>3382.9499510000001</v>
      </c>
      <c r="G193" s="1">
        <v>570671</v>
      </c>
    </row>
    <row r="194" spans="1:7" x14ac:dyDescent="0.3">
      <c r="A194" s="2">
        <v>44564</v>
      </c>
      <c r="B194" s="1">
        <v>3383</v>
      </c>
      <c r="C194" s="1">
        <v>3440.8999020000001</v>
      </c>
      <c r="D194" s="1">
        <v>3383</v>
      </c>
      <c r="E194" s="1">
        <v>3422.3999020000001</v>
      </c>
      <c r="F194" s="1">
        <v>3422.3999020000001</v>
      </c>
      <c r="G194" s="1">
        <v>696276</v>
      </c>
    </row>
    <row r="195" spans="1:7" x14ac:dyDescent="0.3">
      <c r="A195" s="2">
        <v>44565</v>
      </c>
      <c r="B195" s="1">
        <v>3434</v>
      </c>
      <c r="C195" s="1">
        <v>3472.4499510000001</v>
      </c>
      <c r="D195" s="1">
        <v>3415.0500489999999</v>
      </c>
      <c r="E195" s="1">
        <v>3459.3000489999999</v>
      </c>
      <c r="F195" s="1">
        <v>3459.3000489999999</v>
      </c>
      <c r="G195" s="1">
        <v>790886</v>
      </c>
    </row>
    <row r="196" spans="1:7" x14ac:dyDescent="0.3">
      <c r="A196" s="2">
        <v>44566</v>
      </c>
      <c r="B196" s="1">
        <v>3470</v>
      </c>
      <c r="C196" s="1">
        <v>3540</v>
      </c>
      <c r="D196" s="1">
        <v>3452.0500489999999</v>
      </c>
      <c r="E196" s="1">
        <v>3526.8000489999999</v>
      </c>
      <c r="F196" s="1">
        <v>3526.8000489999999</v>
      </c>
      <c r="G196" s="1">
        <v>1024506</v>
      </c>
    </row>
    <row r="197" spans="1:7" x14ac:dyDescent="0.3">
      <c r="A197" s="2">
        <v>44567</v>
      </c>
      <c r="B197" s="1">
        <v>3491.1499020000001</v>
      </c>
      <c r="C197" s="1">
        <v>3537.5500489999999</v>
      </c>
      <c r="D197" s="1">
        <v>3452.1499020000001</v>
      </c>
      <c r="E197" s="1">
        <v>3514.6499020000001</v>
      </c>
      <c r="F197" s="1">
        <v>3514.6499020000001</v>
      </c>
      <c r="G197" s="1">
        <v>1312743</v>
      </c>
    </row>
    <row r="198" spans="1:7" x14ac:dyDescent="0.3">
      <c r="A198" s="2">
        <v>44568</v>
      </c>
      <c r="B198" s="1">
        <v>3514.6499020000001</v>
      </c>
      <c r="C198" s="1">
        <v>3582</v>
      </c>
      <c r="D198" s="1">
        <v>3496.5500489999999</v>
      </c>
      <c r="E198" s="1">
        <v>3576.3000489999999</v>
      </c>
      <c r="F198" s="1">
        <v>3576.3000489999999</v>
      </c>
      <c r="G198" s="1">
        <v>964364</v>
      </c>
    </row>
    <row r="199" spans="1:7" x14ac:dyDescent="0.3">
      <c r="A199" s="2">
        <v>44571</v>
      </c>
      <c r="B199" s="1">
        <v>3580</v>
      </c>
      <c r="C199" s="1">
        <v>3590</v>
      </c>
      <c r="D199" s="1">
        <v>3527</v>
      </c>
      <c r="E199" s="1">
        <v>3553.5</v>
      </c>
      <c r="F199" s="1">
        <v>3553.5</v>
      </c>
      <c r="G199" s="1">
        <v>657511</v>
      </c>
    </row>
    <row r="200" spans="1:7" x14ac:dyDescent="0.3">
      <c r="A200" s="2">
        <v>44572</v>
      </c>
      <c r="B200" s="1">
        <v>3550.6000979999999</v>
      </c>
      <c r="C200" s="1">
        <v>3564</v>
      </c>
      <c r="D200" s="1">
        <v>3495.0500489999999</v>
      </c>
      <c r="E200" s="1">
        <v>3538.75</v>
      </c>
      <c r="F200" s="1">
        <v>3538.75</v>
      </c>
      <c r="G200" s="1">
        <v>734344</v>
      </c>
    </row>
    <row r="201" spans="1:7" x14ac:dyDescent="0.3">
      <c r="A201" s="2">
        <v>44573</v>
      </c>
      <c r="B201" s="1">
        <v>3556.8999020000001</v>
      </c>
      <c r="C201" s="1">
        <v>3582.4499510000001</v>
      </c>
      <c r="D201" s="1">
        <v>3534</v>
      </c>
      <c r="E201" s="1">
        <v>3543.8000489999999</v>
      </c>
      <c r="F201" s="1">
        <v>3543.8000489999999</v>
      </c>
      <c r="G201" s="1">
        <v>594543</v>
      </c>
    </row>
    <row r="202" spans="1:7" x14ac:dyDescent="0.3">
      <c r="A202" s="2">
        <v>44574</v>
      </c>
      <c r="B202" s="1">
        <v>3560</v>
      </c>
      <c r="C202" s="1">
        <v>3560</v>
      </c>
      <c r="D202" s="1">
        <v>3450</v>
      </c>
      <c r="E202" s="1">
        <v>3456.25</v>
      </c>
      <c r="F202" s="1">
        <v>3456.25</v>
      </c>
      <c r="G202" s="1">
        <v>1153984</v>
      </c>
    </row>
    <row r="203" spans="1:7" x14ac:dyDescent="0.3">
      <c r="A203" s="2">
        <v>44575</v>
      </c>
      <c r="B203" s="1">
        <v>3462</v>
      </c>
      <c r="C203" s="1">
        <v>3462</v>
      </c>
      <c r="D203" s="1">
        <v>3346</v>
      </c>
      <c r="E203" s="1">
        <v>3364.3999020000001</v>
      </c>
      <c r="F203" s="1">
        <v>3364.3999020000001</v>
      </c>
      <c r="G203" s="1">
        <v>1558978</v>
      </c>
    </row>
    <row r="204" spans="1:7" x14ac:dyDescent="0.3">
      <c r="A204" s="2">
        <v>44578</v>
      </c>
      <c r="B204" s="1">
        <v>3364.3999020000001</v>
      </c>
      <c r="C204" s="1">
        <v>3399</v>
      </c>
      <c r="D204" s="1">
        <v>3321</v>
      </c>
      <c r="E204" s="1">
        <v>3378.6499020000001</v>
      </c>
      <c r="F204" s="1">
        <v>3378.6499020000001</v>
      </c>
      <c r="G204" s="1">
        <v>1103159</v>
      </c>
    </row>
    <row r="205" spans="1:7" x14ac:dyDescent="0.3">
      <c r="A205" s="2">
        <v>44579</v>
      </c>
      <c r="B205" s="1">
        <v>3379.0500489999999</v>
      </c>
      <c r="C205" s="1">
        <v>3396.4499510000001</v>
      </c>
      <c r="D205" s="1">
        <v>3351</v>
      </c>
      <c r="E205" s="1">
        <v>3373.6999510000001</v>
      </c>
      <c r="F205" s="1">
        <v>3373.6999510000001</v>
      </c>
      <c r="G205" s="1">
        <v>558543</v>
      </c>
    </row>
    <row r="206" spans="1:7" x14ac:dyDescent="0.3">
      <c r="A206" s="2">
        <v>44580</v>
      </c>
      <c r="B206" s="1">
        <v>3370</v>
      </c>
      <c r="C206" s="1">
        <v>3370</v>
      </c>
      <c r="D206" s="1">
        <v>3267.75</v>
      </c>
      <c r="E206" s="1">
        <v>3280.3999020000001</v>
      </c>
      <c r="F206" s="1">
        <v>3280.3999020000001</v>
      </c>
      <c r="G206" s="1">
        <v>1495218</v>
      </c>
    </row>
    <row r="207" spans="1:7" x14ac:dyDescent="0.3">
      <c r="A207" s="2">
        <v>44581</v>
      </c>
      <c r="B207" s="1">
        <v>3282</v>
      </c>
      <c r="C207" s="1">
        <v>3364.8999020000001</v>
      </c>
      <c r="D207" s="1">
        <v>3222</v>
      </c>
      <c r="E207" s="1">
        <v>3306.3999020000001</v>
      </c>
      <c r="F207" s="1">
        <v>3306.3999020000001</v>
      </c>
      <c r="G207" s="1">
        <v>3075678</v>
      </c>
    </row>
    <row r="208" spans="1:7" x14ac:dyDescent="0.3">
      <c r="A208" s="2">
        <v>44582</v>
      </c>
      <c r="B208" s="1">
        <v>3300.0500489999999</v>
      </c>
      <c r="C208" s="1">
        <v>3324.9499510000001</v>
      </c>
      <c r="D208" s="1">
        <v>3241.75</v>
      </c>
      <c r="E208" s="1">
        <v>3274.8500979999999</v>
      </c>
      <c r="F208" s="1">
        <v>3274.8500979999999</v>
      </c>
      <c r="G208" s="1">
        <v>1441694</v>
      </c>
    </row>
    <row r="209" spans="1:7" x14ac:dyDescent="0.3">
      <c r="A209" s="2">
        <v>44585</v>
      </c>
      <c r="B209" s="1">
        <v>3268</v>
      </c>
      <c r="C209" s="1">
        <v>3270</v>
      </c>
      <c r="D209" s="1">
        <v>3135</v>
      </c>
      <c r="E209" s="1">
        <v>3155.1499020000001</v>
      </c>
      <c r="F209" s="1">
        <v>3155.1499020000001</v>
      </c>
      <c r="G209" s="1">
        <v>1575665</v>
      </c>
    </row>
    <row r="210" spans="1:7" x14ac:dyDescent="0.3">
      <c r="A210" s="2">
        <v>44586</v>
      </c>
      <c r="B210" s="1">
        <v>3100</v>
      </c>
      <c r="C210" s="1">
        <v>3156.9499510000001</v>
      </c>
      <c r="D210" s="1">
        <v>3010.75</v>
      </c>
      <c r="E210" s="1">
        <v>3147.1000979999999</v>
      </c>
      <c r="F210" s="1">
        <v>3147.1000979999999</v>
      </c>
      <c r="G210" s="1">
        <v>2699779</v>
      </c>
    </row>
    <row r="211" spans="1:7" x14ac:dyDescent="0.3">
      <c r="A211" s="2">
        <v>44588</v>
      </c>
      <c r="B211" s="1">
        <v>3140.1000979999999</v>
      </c>
      <c r="C211" s="1">
        <v>3143</v>
      </c>
      <c r="D211" s="1">
        <v>3071.25</v>
      </c>
      <c r="E211" s="1">
        <v>3116.9499510000001</v>
      </c>
      <c r="F211" s="1">
        <v>3116.9499510000001</v>
      </c>
      <c r="G211" s="1">
        <v>1834684</v>
      </c>
    </row>
    <row r="212" spans="1:7" x14ac:dyDescent="0.3">
      <c r="A212" s="2">
        <v>44589</v>
      </c>
      <c r="B212" s="1">
        <v>3130</v>
      </c>
      <c r="C212" s="1">
        <v>3170</v>
      </c>
      <c r="D212" s="1">
        <v>3103</v>
      </c>
      <c r="E212" s="1">
        <v>3110.8500979999999</v>
      </c>
      <c r="F212" s="1">
        <v>3110.8500979999999</v>
      </c>
      <c r="G212" s="1">
        <v>892060</v>
      </c>
    </row>
    <row r="213" spans="1:7" x14ac:dyDescent="0.3">
      <c r="A213" s="2">
        <v>44592</v>
      </c>
      <c r="B213" s="1">
        <v>3140</v>
      </c>
      <c r="C213" s="1">
        <v>3193.4499510000001</v>
      </c>
      <c r="D213" s="1">
        <v>3136.3999020000001</v>
      </c>
      <c r="E213" s="1">
        <v>3152.25</v>
      </c>
      <c r="F213" s="1">
        <v>3152.25</v>
      </c>
      <c r="G213" s="1">
        <v>944530</v>
      </c>
    </row>
    <row r="214" spans="1:7" x14ac:dyDescent="0.3">
      <c r="A214" s="2">
        <v>44593</v>
      </c>
      <c r="B214" s="1">
        <v>3194</v>
      </c>
      <c r="C214" s="1">
        <v>3212.3500979999999</v>
      </c>
      <c r="D214" s="1">
        <v>3141.6000979999999</v>
      </c>
      <c r="E214" s="1">
        <v>3196.25</v>
      </c>
      <c r="F214" s="1">
        <v>3196.25</v>
      </c>
      <c r="G214" s="1">
        <v>1008915</v>
      </c>
    </row>
    <row r="215" spans="1:7" x14ac:dyDescent="0.3">
      <c r="A215" s="2">
        <v>44594</v>
      </c>
      <c r="B215" s="1">
        <v>3204.8000489999999</v>
      </c>
      <c r="C215" s="1">
        <v>3244.1499020000001</v>
      </c>
      <c r="D215" s="1">
        <v>3192.1499020000001</v>
      </c>
      <c r="E215" s="1">
        <v>3197.6999510000001</v>
      </c>
      <c r="F215" s="1">
        <v>3197.6999510000001</v>
      </c>
      <c r="G215" s="1">
        <v>667265</v>
      </c>
    </row>
    <row r="216" spans="1:7" x14ac:dyDescent="0.3">
      <c r="A216" s="2">
        <v>44595</v>
      </c>
      <c r="B216" s="1">
        <v>3212.8500979999999</v>
      </c>
      <c r="C216" s="1">
        <v>3241.6000979999999</v>
      </c>
      <c r="D216" s="1">
        <v>3190.1999510000001</v>
      </c>
      <c r="E216" s="1">
        <v>3203</v>
      </c>
      <c r="F216" s="1">
        <v>3203</v>
      </c>
      <c r="G216" s="1">
        <v>899753</v>
      </c>
    </row>
    <row r="217" spans="1:7" x14ac:dyDescent="0.3">
      <c r="A217" s="2">
        <v>44596</v>
      </c>
      <c r="B217" s="1">
        <v>3188</v>
      </c>
      <c r="C217" s="1">
        <v>3248.8000489999999</v>
      </c>
      <c r="D217" s="1">
        <v>3176.0500489999999</v>
      </c>
      <c r="E217" s="1">
        <v>3236.6499020000001</v>
      </c>
      <c r="F217" s="1">
        <v>3236.6499020000001</v>
      </c>
      <c r="G217" s="1">
        <v>705765</v>
      </c>
    </row>
    <row r="218" spans="1:7" x14ac:dyDescent="0.3">
      <c r="A218" s="2">
        <v>44599</v>
      </c>
      <c r="B218" s="1">
        <v>3234</v>
      </c>
      <c r="C218" s="1">
        <v>3251.1999510000001</v>
      </c>
      <c r="D218" s="1">
        <v>3143.1000979999999</v>
      </c>
      <c r="E218" s="1">
        <v>3174.6999510000001</v>
      </c>
      <c r="F218" s="1">
        <v>3174.6999510000001</v>
      </c>
      <c r="G218" s="1">
        <v>860393</v>
      </c>
    </row>
    <row r="219" spans="1:7" x14ac:dyDescent="0.3">
      <c r="A219" s="2">
        <v>44600</v>
      </c>
      <c r="B219" s="1">
        <v>3179</v>
      </c>
      <c r="C219" s="1">
        <v>3223.5</v>
      </c>
      <c r="D219" s="1">
        <v>3166.1999510000001</v>
      </c>
      <c r="E219" s="1">
        <v>3216.3500979999999</v>
      </c>
      <c r="F219" s="1">
        <v>3216.3500979999999</v>
      </c>
      <c r="G219" s="1">
        <v>799206</v>
      </c>
    </row>
    <row r="220" spans="1:7" x14ac:dyDescent="0.3">
      <c r="A220" s="2">
        <v>44601</v>
      </c>
      <c r="B220" s="1">
        <v>3230</v>
      </c>
      <c r="C220" s="1">
        <v>3259</v>
      </c>
      <c r="D220" s="1">
        <v>3222.75</v>
      </c>
      <c r="E220" s="1">
        <v>3228.3500979999999</v>
      </c>
      <c r="F220" s="1">
        <v>3228.3500979999999</v>
      </c>
      <c r="G220" s="1">
        <v>472725</v>
      </c>
    </row>
    <row r="221" spans="1:7" x14ac:dyDescent="0.3">
      <c r="A221" s="2">
        <v>44602</v>
      </c>
      <c r="B221" s="1">
        <v>3220</v>
      </c>
      <c r="C221" s="1">
        <v>3248</v>
      </c>
      <c r="D221" s="1">
        <v>3176</v>
      </c>
      <c r="E221" s="1">
        <v>3238.75</v>
      </c>
      <c r="F221" s="1">
        <v>3238.75</v>
      </c>
      <c r="G221" s="1">
        <v>728666</v>
      </c>
    </row>
    <row r="222" spans="1:7" x14ac:dyDescent="0.3">
      <c r="A222" s="2">
        <v>44603</v>
      </c>
      <c r="B222" s="1">
        <v>3229.9499510000001</v>
      </c>
      <c r="C222" s="1">
        <v>3229.9499510000001</v>
      </c>
      <c r="D222" s="1">
        <v>3182.5</v>
      </c>
      <c r="E222" s="1">
        <v>3216.3000489999999</v>
      </c>
      <c r="F222" s="1">
        <v>3216.3000489999999</v>
      </c>
      <c r="G222" s="1">
        <v>587840</v>
      </c>
    </row>
    <row r="223" spans="1:7" x14ac:dyDescent="0.3">
      <c r="A223" s="2">
        <v>44606</v>
      </c>
      <c r="B223" s="1">
        <v>3140</v>
      </c>
      <c r="C223" s="1">
        <v>3182.6999510000001</v>
      </c>
      <c r="D223" s="1">
        <v>3120</v>
      </c>
      <c r="E223" s="1">
        <v>3143.4499510000001</v>
      </c>
      <c r="F223" s="1">
        <v>3143.4499510000001</v>
      </c>
      <c r="G223" s="1">
        <v>681236</v>
      </c>
    </row>
    <row r="224" spans="1:7" x14ac:dyDescent="0.3">
      <c r="A224" s="2">
        <v>44607</v>
      </c>
      <c r="B224" s="1">
        <v>3140</v>
      </c>
      <c r="C224" s="1">
        <v>3270</v>
      </c>
      <c r="D224" s="1">
        <v>3132.8500979999999</v>
      </c>
      <c r="E224" s="1">
        <v>3264.6000979999999</v>
      </c>
      <c r="F224" s="1">
        <v>3264.6000979999999</v>
      </c>
      <c r="G224" s="1">
        <v>676844</v>
      </c>
    </row>
    <row r="225" spans="1:7" x14ac:dyDescent="0.3">
      <c r="A225" s="2">
        <v>44608</v>
      </c>
      <c r="B225" s="1">
        <v>3280</v>
      </c>
      <c r="C225" s="1">
        <v>3285.1000979999999</v>
      </c>
      <c r="D225" s="1">
        <v>3223</v>
      </c>
      <c r="E225" s="1">
        <v>3252.8500979999999</v>
      </c>
      <c r="F225" s="1">
        <v>3252.8500979999999</v>
      </c>
      <c r="G225" s="1">
        <v>624320</v>
      </c>
    </row>
    <row r="226" spans="1:7" x14ac:dyDescent="0.3">
      <c r="A226" s="2">
        <v>44609</v>
      </c>
      <c r="B226" s="1">
        <v>3273</v>
      </c>
      <c r="C226" s="1">
        <v>3294.9499510000001</v>
      </c>
      <c r="D226" s="1">
        <v>3236.3999020000001</v>
      </c>
      <c r="E226" s="1">
        <v>3265.8500979999999</v>
      </c>
      <c r="F226" s="1">
        <v>3265.8500979999999</v>
      </c>
      <c r="G226" s="1">
        <v>636735</v>
      </c>
    </row>
    <row r="227" spans="1:7" x14ac:dyDescent="0.3">
      <c r="A227" s="2">
        <v>44610</v>
      </c>
      <c r="B227" s="1">
        <v>3236.1499020000001</v>
      </c>
      <c r="C227" s="1">
        <v>3272</v>
      </c>
      <c r="D227" s="1">
        <v>3230.0500489999999</v>
      </c>
      <c r="E227" s="1">
        <v>3258.4499510000001</v>
      </c>
      <c r="F227" s="1">
        <v>3258.4499510000001</v>
      </c>
      <c r="G227" s="1">
        <v>423801</v>
      </c>
    </row>
    <row r="228" spans="1:7" x14ac:dyDescent="0.3">
      <c r="A228" s="2">
        <v>44613</v>
      </c>
      <c r="B228" s="1">
        <v>3235</v>
      </c>
      <c r="C228" s="1">
        <v>3278.4499510000001</v>
      </c>
      <c r="D228" s="1">
        <v>3204.1499020000001</v>
      </c>
      <c r="E228" s="1">
        <v>3251.6499020000001</v>
      </c>
      <c r="F228" s="1">
        <v>3251.6499020000001</v>
      </c>
      <c r="G228" s="1">
        <v>547472</v>
      </c>
    </row>
    <row r="229" spans="1:7" x14ac:dyDescent="0.3">
      <c r="A229" s="2">
        <v>44614</v>
      </c>
      <c r="B229" s="1">
        <v>3120</v>
      </c>
      <c r="C229" s="1">
        <v>3236.8000489999999</v>
      </c>
      <c r="D229" s="1">
        <v>3120</v>
      </c>
      <c r="E229" s="1">
        <v>3227.1499020000001</v>
      </c>
      <c r="F229" s="1">
        <v>3227.1499020000001</v>
      </c>
      <c r="G229" s="1">
        <v>1147209</v>
      </c>
    </row>
    <row r="230" spans="1:7" x14ac:dyDescent="0.3">
      <c r="A230" s="2">
        <v>44615</v>
      </c>
      <c r="B230" s="1">
        <v>3236.8999020000001</v>
      </c>
      <c r="C230" s="1">
        <v>3296.8999020000001</v>
      </c>
      <c r="D230" s="1">
        <v>3230</v>
      </c>
      <c r="E230" s="1">
        <v>3237.1999510000001</v>
      </c>
      <c r="F230" s="1">
        <v>3237.1999510000001</v>
      </c>
      <c r="G230" s="1">
        <v>935896</v>
      </c>
    </row>
    <row r="231" spans="1:7" x14ac:dyDescent="0.3">
      <c r="A231" s="2">
        <v>44616</v>
      </c>
      <c r="B231" s="1">
        <v>3130</v>
      </c>
      <c r="C231" s="1">
        <v>3197.8000489999999</v>
      </c>
      <c r="D231" s="1">
        <v>3051.5</v>
      </c>
      <c r="E231" s="1">
        <v>3069.0500489999999</v>
      </c>
      <c r="F231" s="1">
        <v>3069.0500489999999</v>
      </c>
      <c r="G231" s="1">
        <v>1823450</v>
      </c>
    </row>
    <row r="232" spans="1:7" x14ac:dyDescent="0.3">
      <c r="A232" s="2">
        <v>44617</v>
      </c>
      <c r="B232" s="1">
        <v>3105</v>
      </c>
      <c r="C232" s="1">
        <v>3141.4499510000001</v>
      </c>
      <c r="D232" s="1">
        <v>3083.0500489999999</v>
      </c>
      <c r="E232" s="1">
        <v>3119.1999510000001</v>
      </c>
      <c r="F232" s="1">
        <v>3119.1999510000001</v>
      </c>
      <c r="G232" s="1">
        <v>1239456</v>
      </c>
    </row>
    <row r="233" spans="1:7" x14ac:dyDescent="0.3">
      <c r="A233" s="2">
        <v>44620</v>
      </c>
      <c r="B233" s="1">
        <v>3090</v>
      </c>
      <c r="C233" s="1">
        <v>3190.5</v>
      </c>
      <c r="D233" s="1">
        <v>3015</v>
      </c>
      <c r="E233" s="1">
        <v>3174.6499020000001</v>
      </c>
      <c r="F233" s="1">
        <v>3174.6499020000001</v>
      </c>
      <c r="G233" s="1">
        <v>1678348</v>
      </c>
    </row>
    <row r="234" spans="1:7" x14ac:dyDescent="0.3">
      <c r="A234" s="2">
        <v>44622</v>
      </c>
      <c r="B234" s="1">
        <v>3107</v>
      </c>
      <c r="C234" s="1">
        <v>3111.1999510000001</v>
      </c>
      <c r="D234" s="1">
        <v>2991.1000979999999</v>
      </c>
      <c r="E234" s="1">
        <v>3028.9499510000001</v>
      </c>
      <c r="F234" s="1">
        <v>3028.9499510000001</v>
      </c>
      <c r="G234" s="1">
        <v>3014206</v>
      </c>
    </row>
    <row r="235" spans="1:7" x14ac:dyDescent="0.3">
      <c r="A235" s="2">
        <v>44623</v>
      </c>
      <c r="B235" s="1">
        <v>3029</v>
      </c>
      <c r="C235" s="1">
        <v>3051</v>
      </c>
      <c r="D235" s="1">
        <v>2862</v>
      </c>
      <c r="E235" s="1">
        <v>2871.8999020000001</v>
      </c>
      <c r="F235" s="1">
        <v>2871.8999020000001</v>
      </c>
      <c r="G235" s="1">
        <v>4406840</v>
      </c>
    </row>
    <row r="236" spans="1:7" x14ac:dyDescent="0.3">
      <c r="A236" s="2">
        <v>44624</v>
      </c>
      <c r="B236" s="1">
        <v>2863.8000489999999</v>
      </c>
      <c r="C236" s="1">
        <v>2863.8000489999999</v>
      </c>
      <c r="D236" s="1">
        <v>2662.0500489999999</v>
      </c>
      <c r="E236" s="1">
        <v>2738.1499020000001</v>
      </c>
      <c r="F236" s="1">
        <v>2738.1499020000001</v>
      </c>
      <c r="G236" s="1">
        <v>6979253</v>
      </c>
    </row>
    <row r="237" spans="1:7" x14ac:dyDescent="0.3">
      <c r="A237" s="2">
        <v>44627</v>
      </c>
      <c r="B237" s="1">
        <v>2649.8999020000001</v>
      </c>
      <c r="C237" s="1">
        <v>2727.9499510000001</v>
      </c>
      <c r="D237" s="1">
        <v>2599.3500979999999</v>
      </c>
      <c r="E237" s="1">
        <v>2708.4499510000001</v>
      </c>
      <c r="F237" s="1">
        <v>2708.4499510000001</v>
      </c>
      <c r="G237" s="1">
        <v>3233760</v>
      </c>
    </row>
    <row r="238" spans="1:7" x14ac:dyDescent="0.3">
      <c r="A238" s="2">
        <v>44628</v>
      </c>
      <c r="B238" s="1">
        <v>2690</v>
      </c>
      <c r="C238" s="1">
        <v>2736.9499510000001</v>
      </c>
      <c r="D238" s="1">
        <v>2638</v>
      </c>
      <c r="E238" s="1">
        <v>2723.3999020000001</v>
      </c>
      <c r="F238" s="1">
        <v>2723.3999020000001</v>
      </c>
      <c r="G238" s="1">
        <v>2611102</v>
      </c>
    </row>
    <row r="239" spans="1:7" x14ac:dyDescent="0.3">
      <c r="A239" s="2">
        <v>44629</v>
      </c>
      <c r="B239" s="1">
        <v>2750</v>
      </c>
      <c r="C239" s="1">
        <v>2890</v>
      </c>
      <c r="D239" s="1">
        <v>2665.0500489999999</v>
      </c>
      <c r="E239" s="1">
        <v>2874.9499510000001</v>
      </c>
      <c r="F239" s="1">
        <v>2874.9499510000001</v>
      </c>
      <c r="G239" s="1">
        <v>4076068</v>
      </c>
    </row>
    <row r="240" spans="1:7" x14ac:dyDescent="0.3">
      <c r="A240" s="2">
        <v>44630</v>
      </c>
      <c r="B240" s="1">
        <v>3000</v>
      </c>
      <c r="C240" s="1">
        <v>3040</v>
      </c>
      <c r="D240" s="1">
        <v>2891.1999510000001</v>
      </c>
      <c r="E240" s="1">
        <v>2912.8000489999999</v>
      </c>
      <c r="F240" s="1">
        <v>2912.8000489999999</v>
      </c>
      <c r="G240" s="1">
        <v>3971987</v>
      </c>
    </row>
    <row r="241" spans="1:7" x14ac:dyDescent="0.3">
      <c r="A241" s="2">
        <v>44631</v>
      </c>
      <c r="B241" s="1">
        <v>2917</v>
      </c>
      <c r="C241" s="1">
        <v>2939.9499510000001</v>
      </c>
      <c r="D241" s="1">
        <v>2882.3500979999999</v>
      </c>
      <c r="E241" s="1">
        <v>2932</v>
      </c>
      <c r="F241" s="1">
        <v>2932</v>
      </c>
      <c r="G241" s="1">
        <v>1265493</v>
      </c>
    </row>
    <row r="242" spans="1:7" x14ac:dyDescent="0.3">
      <c r="A242" s="2">
        <v>44634</v>
      </c>
      <c r="B242" s="1">
        <v>2950</v>
      </c>
      <c r="C242" s="1">
        <v>2972.3500979999999</v>
      </c>
      <c r="D242" s="1">
        <v>2917.3000489999999</v>
      </c>
      <c r="E242" s="1">
        <v>2962.8000489999999</v>
      </c>
      <c r="F242" s="1">
        <v>2962.8000489999999</v>
      </c>
      <c r="G242" s="1">
        <v>1214217</v>
      </c>
    </row>
    <row r="243" spans="1:7" x14ac:dyDescent="0.3">
      <c r="A243" s="2">
        <v>44635</v>
      </c>
      <c r="B243" s="1">
        <v>2998</v>
      </c>
      <c r="C243" s="1">
        <v>3032</v>
      </c>
      <c r="D243" s="1">
        <v>2966</v>
      </c>
      <c r="E243" s="1">
        <v>2987.1499020000001</v>
      </c>
      <c r="F243" s="1">
        <v>2987.1499020000001</v>
      </c>
      <c r="G243" s="1">
        <v>1857685</v>
      </c>
    </row>
    <row r="244" spans="1:7" x14ac:dyDescent="0.3">
      <c r="A244" s="2">
        <v>44636</v>
      </c>
      <c r="B244" s="1">
        <v>3043</v>
      </c>
      <c r="C244" s="1">
        <v>3050</v>
      </c>
      <c r="D244" s="1">
        <v>3010.75</v>
      </c>
      <c r="E244" s="1">
        <v>3042</v>
      </c>
      <c r="F244" s="1">
        <v>3042</v>
      </c>
      <c r="G244" s="1">
        <v>1287234</v>
      </c>
    </row>
    <row r="245" spans="1:7" x14ac:dyDescent="0.3">
      <c r="A245" s="2">
        <v>44637</v>
      </c>
      <c r="B245" s="1">
        <v>3113.5</v>
      </c>
      <c r="C245" s="1">
        <v>3163.3000489999999</v>
      </c>
      <c r="D245" s="1">
        <v>3076.5</v>
      </c>
      <c r="E245" s="1">
        <v>3136.6000979999999</v>
      </c>
      <c r="F245" s="1">
        <v>3136.6000979999999</v>
      </c>
      <c r="G245" s="1">
        <v>2867519</v>
      </c>
    </row>
    <row r="246" spans="1:7" x14ac:dyDescent="0.3">
      <c r="A246" s="2">
        <v>44641</v>
      </c>
      <c r="B246" s="1">
        <v>3117.3000489999999</v>
      </c>
      <c r="C246" s="1">
        <v>3117.3000489999999</v>
      </c>
      <c r="D246" s="1">
        <v>3030.1000979999999</v>
      </c>
      <c r="E246" s="1">
        <v>3045.75</v>
      </c>
      <c r="F246" s="1">
        <v>3045.75</v>
      </c>
      <c r="G246" s="1">
        <v>1259015</v>
      </c>
    </row>
    <row r="247" spans="1:7" x14ac:dyDescent="0.3">
      <c r="A247" s="2">
        <v>44642</v>
      </c>
      <c r="B247" s="1">
        <v>3024</v>
      </c>
      <c r="C247" s="1">
        <v>3062.6999510000001</v>
      </c>
      <c r="D247" s="1">
        <v>2975</v>
      </c>
      <c r="E247" s="1">
        <v>3051.1499020000001</v>
      </c>
      <c r="F247" s="1">
        <v>3051.1499020000001</v>
      </c>
      <c r="G247" s="1">
        <v>1515772</v>
      </c>
    </row>
    <row r="248" spans="1:7" x14ac:dyDescent="0.3">
      <c r="A248" s="2">
        <v>44643</v>
      </c>
      <c r="B248" s="1">
        <v>3060</v>
      </c>
      <c r="C248" s="1">
        <v>3079.8999020000001</v>
      </c>
      <c r="D248" s="1">
        <v>3005</v>
      </c>
      <c r="E248" s="1">
        <v>3016.8000489999999</v>
      </c>
      <c r="F248" s="1">
        <v>3016.8000489999999</v>
      </c>
      <c r="G248" s="1">
        <v>948403</v>
      </c>
    </row>
    <row r="249" spans="1:7" x14ac:dyDescent="0.3">
      <c r="A249" s="2">
        <v>44644</v>
      </c>
      <c r="B249" s="1">
        <v>2969.5</v>
      </c>
      <c r="C249" s="1">
        <v>3038.9499510000001</v>
      </c>
      <c r="D249" s="1">
        <v>2950.5500489999999</v>
      </c>
      <c r="E249" s="1">
        <v>3025.3500979999999</v>
      </c>
      <c r="F249" s="1">
        <v>3025.3500979999999</v>
      </c>
      <c r="G249" s="1">
        <v>1243890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8775-AAF7-4545-A011-2F16D17FB3B6}">
  <dimension ref="A1:AB249"/>
  <sheetViews>
    <sheetView tabSelected="1" workbookViewId="0">
      <selection activeCell="AD15" sqref="AD15"/>
    </sheetView>
  </sheetViews>
  <sheetFormatPr defaultRowHeight="14.4" x14ac:dyDescent="0.3"/>
  <cols>
    <col min="1" max="1" width="11.5546875" style="1" customWidth="1"/>
    <col min="2" max="2" width="17.5546875" style="1" customWidth="1"/>
    <col min="3" max="3" width="17.44140625" style="1" customWidth="1"/>
    <col min="4" max="4" width="16.6640625" style="1" customWidth="1"/>
    <col min="5" max="5" width="17" style="1" customWidth="1"/>
    <col min="6" max="6" width="20.88671875" style="1" customWidth="1"/>
    <col min="7" max="7" width="18.5546875" style="1" customWidth="1"/>
    <col min="8" max="8" width="12.33203125" style="1" customWidth="1"/>
    <col min="9" max="11" width="11.5546875" style="1" customWidth="1"/>
    <col min="12" max="12" width="15.5546875" style="1" customWidth="1"/>
    <col min="13" max="13" width="13.88671875" style="1" customWidth="1"/>
    <col min="14" max="14" width="3.21875" customWidth="1"/>
    <col min="15" max="15" width="18.109375" customWidth="1"/>
    <col min="16" max="16" width="3.33203125" customWidth="1"/>
    <col min="17" max="17" width="12.77734375" customWidth="1"/>
    <col min="18" max="18" width="12.109375" customWidth="1"/>
    <col min="19" max="19" width="14.77734375" customWidth="1"/>
    <col min="20" max="20" width="10.33203125" bestFit="1" customWidth="1"/>
    <col min="25" max="25" width="3" customWidth="1"/>
    <col min="26" max="26" width="12.21875" style="1" customWidth="1"/>
    <col min="27" max="27" width="13.109375" style="1" customWidth="1"/>
    <col min="28" max="28" width="18.77734375" style="1" customWidth="1"/>
  </cols>
  <sheetData>
    <row r="1" spans="1:2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Q1" s="4" t="s">
        <v>24</v>
      </c>
      <c r="R1" s="5"/>
      <c r="S1" s="5"/>
      <c r="T1" s="5"/>
      <c r="U1" s="5"/>
      <c r="V1" s="5"/>
      <c r="W1" s="5"/>
      <c r="X1" s="5"/>
      <c r="Z1" s="3" t="s">
        <v>0</v>
      </c>
      <c r="AA1" s="1" t="str">
        <f>O3</f>
        <v>DMART Open</v>
      </c>
      <c r="AB1" s="1" t="str">
        <f>O4</f>
        <v>ASIANPAINTS Open</v>
      </c>
    </row>
    <row r="2" spans="1:28" x14ac:dyDescent="0.3">
      <c r="A2" s="2">
        <v>44279</v>
      </c>
      <c r="B2" s="1">
        <v>2410.3000489999999</v>
      </c>
      <c r="C2" s="1">
        <v>2470</v>
      </c>
      <c r="D2" s="1">
        <v>2410</v>
      </c>
      <c r="E2" s="1">
        <v>2443.5500489999999</v>
      </c>
      <c r="F2" s="1">
        <v>2428.6452640000002</v>
      </c>
      <c r="G2" s="1">
        <v>4132092</v>
      </c>
      <c r="H2" s="1">
        <v>2933.6499020000001</v>
      </c>
      <c r="I2" s="1">
        <v>2947.6999510000001</v>
      </c>
      <c r="J2" s="1">
        <v>2840</v>
      </c>
      <c r="K2" s="1">
        <v>2855.6000979999999</v>
      </c>
      <c r="L2" s="1">
        <v>2855.6000979999999</v>
      </c>
      <c r="M2" s="1">
        <v>455895</v>
      </c>
      <c r="O2" s="1" t="s">
        <v>21</v>
      </c>
      <c r="Q2" s="5"/>
      <c r="R2" s="5"/>
      <c r="S2" s="5"/>
      <c r="T2" s="5"/>
      <c r="U2" s="5"/>
      <c r="V2" s="5"/>
      <c r="W2" s="5"/>
      <c r="X2" s="5"/>
      <c r="Z2" s="2">
        <v>44279</v>
      </c>
      <c r="AA2" s="1">
        <f>INDEX($A:$M, MATCH(Z2, $A:$A, 0), MATCH($AA$1, $A$1:$M$1, 0))</f>
        <v>2933.6499020000001</v>
      </c>
      <c r="AB2" s="1">
        <f>INDEX(A:M, MATCH(Z2, A:A, 0), MATCH(AB1, A1:M1, 0))</f>
        <v>2410.3000489999999</v>
      </c>
    </row>
    <row r="3" spans="1:28" x14ac:dyDescent="0.3">
      <c r="A3" s="2">
        <v>44280</v>
      </c>
      <c r="B3" s="1">
        <v>2450.9499510000001</v>
      </c>
      <c r="C3" s="1">
        <v>2469</v>
      </c>
      <c r="D3" s="1">
        <v>2392</v>
      </c>
      <c r="E3" s="1">
        <v>2402.1999510000001</v>
      </c>
      <c r="F3" s="1">
        <v>2387.5473630000001</v>
      </c>
      <c r="G3" s="1">
        <v>2272545</v>
      </c>
      <c r="H3" s="1">
        <v>2875</v>
      </c>
      <c r="I3" s="1">
        <v>2893</v>
      </c>
      <c r="J3" s="1">
        <v>2775</v>
      </c>
      <c r="K3" s="1">
        <v>2796</v>
      </c>
      <c r="L3" s="1">
        <v>2796</v>
      </c>
      <c r="M3" s="1">
        <v>621113</v>
      </c>
      <c r="O3" s="1" t="s">
        <v>7</v>
      </c>
      <c r="Q3" s="5"/>
      <c r="R3" s="5"/>
      <c r="S3" s="5"/>
      <c r="T3" s="5"/>
      <c r="U3" s="5"/>
      <c r="V3" s="5"/>
      <c r="W3" s="5"/>
      <c r="X3" s="5"/>
      <c r="Z3" s="2">
        <v>44280</v>
      </c>
      <c r="AA3" s="1">
        <f>INDEX($A:$M, MATCH(Z3, $A:$A, 0), MATCH($AA$1, $A$1:$M$1, 0))</f>
        <v>2875</v>
      </c>
      <c r="AB3" s="1">
        <f>INDEX(A:M, MATCH(Z3, A:A, 0), MATCH(AB2, A2:M2, 0))</f>
        <v>2450.9499510000001</v>
      </c>
    </row>
    <row r="4" spans="1:28" x14ac:dyDescent="0.3">
      <c r="A4" s="2">
        <v>44281</v>
      </c>
      <c r="B4" s="1">
        <v>2425</v>
      </c>
      <c r="C4" s="1">
        <v>2513.9499510000001</v>
      </c>
      <c r="D4" s="1">
        <v>2409.1000979999999</v>
      </c>
      <c r="E4" s="1">
        <v>2505.1499020000001</v>
      </c>
      <c r="F4" s="1">
        <v>2489.8691410000001</v>
      </c>
      <c r="G4" s="1">
        <v>3084607</v>
      </c>
      <c r="H4" s="1">
        <v>2829</v>
      </c>
      <c r="I4" s="1">
        <v>2898.8000489999999</v>
      </c>
      <c r="J4" s="1">
        <v>2805</v>
      </c>
      <c r="K4" s="1">
        <v>2855.1999510000001</v>
      </c>
      <c r="L4" s="1">
        <v>2855.1999510000001</v>
      </c>
      <c r="M4" s="1">
        <v>482759</v>
      </c>
      <c r="O4" s="1" t="s">
        <v>1</v>
      </c>
      <c r="Z4" s="2">
        <v>44281</v>
      </c>
      <c r="AA4" s="1">
        <f>INDEX($A:$M, MATCH(Z4, $A:$A, 0), MATCH($AA$1, $A$1:$M$1, 0))</f>
        <v>2829</v>
      </c>
      <c r="AB4" s="1">
        <f>INDEX(A:M, MATCH(Z4, A:A, 0), MATCH(AB3, A3:M3, 0))</f>
        <v>2425</v>
      </c>
    </row>
    <row r="5" spans="1:28" x14ac:dyDescent="0.3">
      <c r="A5" s="2">
        <v>44285</v>
      </c>
      <c r="B5" s="1">
        <v>2539.1000979999999</v>
      </c>
      <c r="C5" s="1">
        <v>2583.4499510000001</v>
      </c>
      <c r="D5" s="1">
        <v>2521.5</v>
      </c>
      <c r="E5" s="1">
        <v>2578.0500489999999</v>
      </c>
      <c r="F5" s="1">
        <v>2562.3247070000002</v>
      </c>
      <c r="G5" s="1">
        <v>2332884</v>
      </c>
      <c r="H5" s="1">
        <v>2867</v>
      </c>
      <c r="I5" s="1">
        <v>2918</v>
      </c>
      <c r="J5" s="1">
        <v>2807</v>
      </c>
      <c r="K5" s="1">
        <v>2837.5500489999999</v>
      </c>
      <c r="L5" s="1">
        <v>2837.5500489999999</v>
      </c>
      <c r="M5" s="1">
        <v>696632</v>
      </c>
      <c r="O5" s="1" t="str">
        <f>LEFT(O3, (FIND(" ", O3, 1))-1)</f>
        <v>DMART</v>
      </c>
      <c r="Z5" s="2">
        <v>44285</v>
      </c>
      <c r="AA5" s="1">
        <f>INDEX($A:$M, MATCH(Z5, $A:$A, 0), MATCH($AA$1, $A$1:$M$1, 0))</f>
        <v>2867</v>
      </c>
      <c r="AB5" s="1">
        <f>INDEX(A:M, MATCH(Z5, A:A, 0), MATCH(AB4, A4:M4, 0))</f>
        <v>2539.1000979999999</v>
      </c>
    </row>
    <row r="6" spans="1:28" x14ac:dyDescent="0.3">
      <c r="A6" s="2">
        <v>44286</v>
      </c>
      <c r="B6" s="1">
        <v>2578.0500489999999</v>
      </c>
      <c r="C6" s="1">
        <v>2582.9499510000001</v>
      </c>
      <c r="D6" s="1">
        <v>2531</v>
      </c>
      <c r="E6" s="1">
        <v>2537.3999020000001</v>
      </c>
      <c r="F6" s="1">
        <v>2521.922607</v>
      </c>
      <c r="G6" s="1">
        <v>1616044</v>
      </c>
      <c r="H6" s="1">
        <v>2869</v>
      </c>
      <c r="I6" s="1">
        <v>2890</v>
      </c>
      <c r="J6" s="1">
        <v>2830</v>
      </c>
      <c r="K6" s="1">
        <v>2859.0500489999999</v>
      </c>
      <c r="L6" s="1">
        <v>2859.0500489999999</v>
      </c>
      <c r="M6" s="1">
        <v>433044</v>
      </c>
      <c r="Z6" s="2">
        <v>44286</v>
      </c>
      <c r="AA6" s="1">
        <f>INDEX($A:$M, MATCH(Z6, $A:$A, 0), MATCH($AA$1, $A$1:$M$1, 0))</f>
        <v>2869</v>
      </c>
      <c r="AB6" s="1">
        <f>INDEX(A:M, MATCH(Z6, A:A, 0), MATCH(AB5, A5:M5, 0))</f>
        <v>2578.0500489999999</v>
      </c>
    </row>
    <row r="7" spans="1:28" x14ac:dyDescent="0.3">
      <c r="A7" s="2">
        <v>44287</v>
      </c>
      <c r="B7" s="1">
        <v>2532</v>
      </c>
      <c r="C7" s="1">
        <v>2564.5500489999999</v>
      </c>
      <c r="D7" s="1">
        <v>2532</v>
      </c>
      <c r="E7" s="1">
        <v>2551.75</v>
      </c>
      <c r="F7" s="1">
        <v>2536.1850589999999</v>
      </c>
      <c r="G7" s="1">
        <v>1219588</v>
      </c>
      <c r="H7" s="1">
        <v>2885</v>
      </c>
      <c r="I7" s="1">
        <v>2925</v>
      </c>
      <c r="J7" s="1">
        <v>2855.5</v>
      </c>
      <c r="K7" s="1">
        <v>2912.6999510000001</v>
      </c>
      <c r="L7" s="1">
        <v>2912.6999510000001</v>
      </c>
      <c r="M7" s="1">
        <v>416624</v>
      </c>
      <c r="Z7" s="2">
        <v>44287</v>
      </c>
      <c r="AA7" s="1">
        <f>INDEX($A:$M, MATCH(Z7, $A:$A, 0), MATCH($AA$1, $A$1:$M$1, 0))</f>
        <v>2885</v>
      </c>
      <c r="AB7" s="1">
        <f>INDEX(A:M, MATCH(Z7, A:A, 0), MATCH(AB6, A6:M6, 0))</f>
        <v>2532</v>
      </c>
    </row>
    <row r="8" spans="1:28" x14ac:dyDescent="0.3">
      <c r="A8" s="2">
        <v>44291</v>
      </c>
      <c r="B8" s="1">
        <v>2558</v>
      </c>
      <c r="C8" s="1">
        <v>2558</v>
      </c>
      <c r="D8" s="1">
        <v>2484.5</v>
      </c>
      <c r="E8" s="1">
        <v>2510.6499020000001</v>
      </c>
      <c r="F8" s="1">
        <v>2495.335693</v>
      </c>
      <c r="G8" s="1">
        <v>1268939</v>
      </c>
      <c r="H8" s="1">
        <v>2890</v>
      </c>
      <c r="I8" s="1">
        <v>2890</v>
      </c>
      <c r="J8" s="1">
        <v>2793</v>
      </c>
      <c r="K8" s="1">
        <v>2846.9499510000001</v>
      </c>
      <c r="L8" s="1">
        <v>2846.9499510000001</v>
      </c>
      <c r="M8" s="1">
        <v>460926</v>
      </c>
      <c r="Z8" s="2">
        <v>44291</v>
      </c>
      <c r="AA8" s="1">
        <f>INDEX($A:$M, MATCH(Z8, $A:$A, 0), MATCH($AA$1, $A$1:$M$1, 0))</f>
        <v>2890</v>
      </c>
      <c r="AB8" s="1">
        <f>INDEX(A:M, MATCH(Z8, A:A, 0), MATCH(AB7, A7:M7, 0))</f>
        <v>2558</v>
      </c>
    </row>
    <row r="9" spans="1:28" x14ac:dyDescent="0.3">
      <c r="A9" s="2">
        <v>44292</v>
      </c>
      <c r="B9" s="1">
        <v>2526</v>
      </c>
      <c r="C9" s="1">
        <v>2620</v>
      </c>
      <c r="D9" s="1">
        <v>2504.5</v>
      </c>
      <c r="E9" s="1">
        <v>2611.6000979999999</v>
      </c>
      <c r="F9" s="1">
        <v>2595.6701659999999</v>
      </c>
      <c r="G9" s="1">
        <v>3372846</v>
      </c>
      <c r="H9" s="1">
        <v>2873</v>
      </c>
      <c r="I9" s="1">
        <v>2878.1000979999999</v>
      </c>
      <c r="J9" s="1">
        <v>2826.1000979999999</v>
      </c>
      <c r="K9" s="1">
        <v>2843.6499020000001</v>
      </c>
      <c r="L9" s="1">
        <v>2843.6499020000001</v>
      </c>
      <c r="M9" s="1">
        <v>342977</v>
      </c>
      <c r="Z9" s="2">
        <v>44292</v>
      </c>
      <c r="AA9" s="1">
        <f>INDEX($A:$M, MATCH(Z9, $A:$A, 0), MATCH($AA$1, $A$1:$M$1, 0))</f>
        <v>2873</v>
      </c>
      <c r="AB9" s="1">
        <f>INDEX(A:M, MATCH(Z9, A:A, 0), MATCH(AB8, A8:M8, 0))</f>
        <v>2526</v>
      </c>
    </row>
    <row r="10" spans="1:28" x14ac:dyDescent="0.3">
      <c r="A10" s="2">
        <v>44293</v>
      </c>
      <c r="B10" s="1">
        <v>2605</v>
      </c>
      <c r="C10" s="1">
        <v>2668.0500489999999</v>
      </c>
      <c r="D10" s="1">
        <v>2600.1000979999999</v>
      </c>
      <c r="E10" s="1">
        <v>2628.6000979999999</v>
      </c>
      <c r="F10" s="1">
        <v>2612.5664059999999</v>
      </c>
      <c r="G10" s="1">
        <v>1937977</v>
      </c>
      <c r="H10" s="1">
        <v>2855</v>
      </c>
      <c r="I10" s="1">
        <v>2900</v>
      </c>
      <c r="J10" s="1">
        <v>2835</v>
      </c>
      <c r="K10" s="1">
        <v>2890.6499020000001</v>
      </c>
      <c r="L10" s="1">
        <v>2890.6499020000001</v>
      </c>
      <c r="M10" s="1">
        <v>334645</v>
      </c>
      <c r="Z10" s="2">
        <v>44293</v>
      </c>
      <c r="AA10" s="1">
        <f>INDEX($A:$M, MATCH(Z10, $A:$A, 0), MATCH($AA$1, $A$1:$M$1, 0))</f>
        <v>2855</v>
      </c>
      <c r="AB10" s="1">
        <f>INDEX(A:M, MATCH(Z10, A:A, 0), MATCH(AB9, A9:M9, 0))</f>
        <v>2605</v>
      </c>
    </row>
    <row r="11" spans="1:28" x14ac:dyDescent="0.3">
      <c r="A11" s="2">
        <v>44294</v>
      </c>
      <c r="B11" s="1">
        <v>2630</v>
      </c>
      <c r="C11" s="1">
        <v>2658.3999020000001</v>
      </c>
      <c r="D11" s="1">
        <v>2628</v>
      </c>
      <c r="E11" s="1">
        <v>2650.6499020000001</v>
      </c>
      <c r="F11" s="1">
        <v>2634.4819339999999</v>
      </c>
      <c r="G11" s="1">
        <v>897483</v>
      </c>
      <c r="H11" s="1">
        <v>2899.6499020000001</v>
      </c>
      <c r="I11" s="1">
        <v>2945</v>
      </c>
      <c r="J11" s="1">
        <v>2890.6499020000001</v>
      </c>
      <c r="K11" s="1">
        <v>2936.5</v>
      </c>
      <c r="L11" s="1">
        <v>2936.5</v>
      </c>
      <c r="M11" s="1">
        <v>478173</v>
      </c>
      <c r="Z11" s="2">
        <v>44294</v>
      </c>
      <c r="AA11" s="1">
        <f>INDEX($A:$M, MATCH(Z11, $A:$A, 0), MATCH($AA$1, $A$1:$M$1, 0))</f>
        <v>2899.6499020000001</v>
      </c>
      <c r="AB11" s="1">
        <f>INDEX(A:M, MATCH(Z11, A:A, 0), MATCH(AB10, A10:M10, 0))</f>
        <v>2630</v>
      </c>
    </row>
    <row r="12" spans="1:28" x14ac:dyDescent="0.3">
      <c r="A12" s="2">
        <v>44295</v>
      </c>
      <c r="B12" s="1">
        <v>2635</v>
      </c>
      <c r="C12" s="1">
        <v>2655</v>
      </c>
      <c r="D12" s="1">
        <v>2610.1499020000001</v>
      </c>
      <c r="E12" s="1">
        <v>2630.8000489999999</v>
      </c>
      <c r="F12" s="1">
        <v>2614.7529300000001</v>
      </c>
      <c r="G12" s="1">
        <v>1185017</v>
      </c>
      <c r="H12" s="1">
        <v>2937.1000979999999</v>
      </c>
      <c r="I12" s="1">
        <v>2973.3500979999999</v>
      </c>
      <c r="J12" s="1">
        <v>2917.25</v>
      </c>
      <c r="K12" s="1">
        <v>2947.75</v>
      </c>
      <c r="L12" s="1">
        <v>2947.75</v>
      </c>
      <c r="M12" s="1">
        <v>808884</v>
      </c>
      <c r="Z12" s="2">
        <v>44295</v>
      </c>
      <c r="AA12" s="1">
        <f>INDEX($A:$M, MATCH(Z12, $A:$A, 0), MATCH($AA$1, $A$1:$M$1, 0))</f>
        <v>2937.1000979999999</v>
      </c>
      <c r="AB12" s="1">
        <f>INDEX(A:M, MATCH(Z12, A:A, 0), MATCH(AB11, A11:M11, 0))</f>
        <v>2635</v>
      </c>
    </row>
    <row r="13" spans="1:28" x14ac:dyDescent="0.3">
      <c r="A13" s="2">
        <v>44298</v>
      </c>
      <c r="B13" s="1">
        <v>2578.1999510000001</v>
      </c>
      <c r="C13" s="1">
        <v>2610</v>
      </c>
      <c r="D13" s="1">
        <v>2555</v>
      </c>
      <c r="E13" s="1">
        <v>2602.1999510000001</v>
      </c>
      <c r="F13" s="1">
        <v>2586.327393</v>
      </c>
      <c r="G13" s="1">
        <v>1427691</v>
      </c>
      <c r="H13" s="1">
        <v>2861.1000979999999</v>
      </c>
      <c r="I13" s="1">
        <v>2889</v>
      </c>
      <c r="J13" s="1">
        <v>2790.1000979999999</v>
      </c>
      <c r="K13" s="1">
        <v>2814.8999020000001</v>
      </c>
      <c r="L13" s="1">
        <v>2814.8999020000001</v>
      </c>
      <c r="M13" s="1">
        <v>475661</v>
      </c>
      <c r="Z13" s="2">
        <v>44298</v>
      </c>
      <c r="AA13" s="1">
        <f>INDEX($A:$M, MATCH(Z13, $A:$A, 0), MATCH($AA$1, $A$1:$M$1, 0))</f>
        <v>2861.1000979999999</v>
      </c>
      <c r="AB13" s="1">
        <f>INDEX(A:M, MATCH(Z13, A:A, 0), MATCH(AB12, A12:M12, 0))</f>
        <v>2578.1999510000001</v>
      </c>
    </row>
    <row r="14" spans="1:28" x14ac:dyDescent="0.3">
      <c r="A14" s="2">
        <v>44299</v>
      </c>
      <c r="B14" s="1">
        <v>2600</v>
      </c>
      <c r="C14" s="1">
        <v>2626</v>
      </c>
      <c r="D14" s="1">
        <v>2564.3000489999999</v>
      </c>
      <c r="E14" s="1">
        <v>2570.6999510000001</v>
      </c>
      <c r="F14" s="1">
        <v>2555.0195309999999</v>
      </c>
      <c r="G14" s="1">
        <v>1200230</v>
      </c>
      <c r="H14" s="1">
        <v>2832.9499510000001</v>
      </c>
      <c r="I14" s="1">
        <v>2885</v>
      </c>
      <c r="J14" s="1">
        <v>2812</v>
      </c>
      <c r="K14" s="1">
        <v>2832.6999510000001</v>
      </c>
      <c r="L14" s="1">
        <v>2832.6999510000001</v>
      </c>
      <c r="M14" s="1">
        <v>267793</v>
      </c>
      <c r="Z14" s="2">
        <v>44299</v>
      </c>
      <c r="AA14" s="1">
        <f>INDEX($A:$M, MATCH(Z14, $A:$A, 0), MATCH($AA$1, $A$1:$M$1, 0))</f>
        <v>2832.9499510000001</v>
      </c>
      <c r="AB14" s="1">
        <f>INDEX(A:M, MATCH(Z14, A:A, 0), MATCH(AB13, A13:M13, 0))</f>
        <v>2600</v>
      </c>
    </row>
    <row r="15" spans="1:28" x14ac:dyDescent="0.3">
      <c r="A15" s="2">
        <v>44301</v>
      </c>
      <c r="B15" s="1">
        <v>2590</v>
      </c>
      <c r="C15" s="1">
        <v>2593.5500489999999</v>
      </c>
      <c r="D15" s="1">
        <v>2537</v>
      </c>
      <c r="E15" s="1">
        <v>2587.6999510000001</v>
      </c>
      <c r="F15" s="1">
        <v>2571.9160160000001</v>
      </c>
      <c r="G15" s="1">
        <v>1209829</v>
      </c>
      <c r="H15" s="1">
        <v>2844</v>
      </c>
      <c r="I15" s="1">
        <v>2952.9499510000001</v>
      </c>
      <c r="J15" s="1">
        <v>2828.1000979999999</v>
      </c>
      <c r="K15" s="1">
        <v>2928.8999020000001</v>
      </c>
      <c r="L15" s="1">
        <v>2928.8999020000001</v>
      </c>
      <c r="M15" s="1">
        <v>377544</v>
      </c>
      <c r="Z15" s="2">
        <v>44301</v>
      </c>
      <c r="AA15" s="1">
        <f>INDEX($A:$M, MATCH(Z15, $A:$A, 0), MATCH($AA$1, $A$1:$M$1, 0))</f>
        <v>2844</v>
      </c>
      <c r="AB15" s="1">
        <f>INDEX(A:M, MATCH(Z15, A:A, 0), MATCH(AB14, A14:M14, 0))</f>
        <v>2590</v>
      </c>
    </row>
    <row r="16" spans="1:28" x14ac:dyDescent="0.3">
      <c r="A16" s="2">
        <v>44302</v>
      </c>
      <c r="B16" s="1">
        <v>2587.6000979999999</v>
      </c>
      <c r="C16" s="1">
        <v>2693.5</v>
      </c>
      <c r="D16" s="1">
        <v>2581.6999510000001</v>
      </c>
      <c r="E16" s="1">
        <v>2663.6999510000001</v>
      </c>
      <c r="F16" s="1">
        <v>2647.452393</v>
      </c>
      <c r="G16" s="1">
        <v>2760777</v>
      </c>
      <c r="H16" s="1">
        <v>2947</v>
      </c>
      <c r="I16" s="1">
        <v>2980</v>
      </c>
      <c r="J16" s="1">
        <v>2902</v>
      </c>
      <c r="K16" s="1">
        <v>2919.8999020000001</v>
      </c>
      <c r="L16" s="1">
        <v>2919.8999020000001</v>
      </c>
      <c r="M16" s="1">
        <v>334483</v>
      </c>
      <c r="Z16" s="2">
        <v>44302</v>
      </c>
      <c r="AA16" s="1">
        <f>INDEX($A:$M, MATCH(Z16, $A:$A, 0), MATCH($AA$1, $A$1:$M$1, 0))</f>
        <v>2947</v>
      </c>
      <c r="AB16" s="1">
        <f>INDEX(A:M, MATCH(Z16, A:A, 0), MATCH(AB15, A15:M15, 0))</f>
        <v>2587.6000979999999</v>
      </c>
    </row>
    <row r="17" spans="1:28" x14ac:dyDescent="0.3">
      <c r="A17" s="2">
        <v>44305</v>
      </c>
      <c r="B17" s="1">
        <v>2650</v>
      </c>
      <c r="C17" s="1">
        <v>2650</v>
      </c>
      <c r="D17" s="1">
        <v>2566.8500979999999</v>
      </c>
      <c r="E17" s="1">
        <v>2571.8999020000001</v>
      </c>
      <c r="F17" s="1">
        <v>2556.2121579999998</v>
      </c>
      <c r="G17" s="1">
        <v>1552036</v>
      </c>
      <c r="H17" s="1">
        <v>2860.4499510000001</v>
      </c>
      <c r="I17" s="1">
        <v>2869.5</v>
      </c>
      <c r="J17" s="1">
        <v>2820.25</v>
      </c>
      <c r="K17" s="1">
        <v>2850.75</v>
      </c>
      <c r="L17" s="1">
        <v>2850.75</v>
      </c>
      <c r="M17" s="1">
        <v>267692</v>
      </c>
      <c r="Z17" s="2">
        <v>44305</v>
      </c>
      <c r="AA17" s="1">
        <f>INDEX($A:$M, MATCH(Z17, $A:$A, 0), MATCH($AA$1, $A$1:$M$1, 0))</f>
        <v>2860.4499510000001</v>
      </c>
      <c r="AB17" s="1">
        <f>INDEX(A:M, MATCH(Z17, A:A, 0), MATCH(AB16, A16:M16, 0))</f>
        <v>2650</v>
      </c>
    </row>
    <row r="18" spans="1:28" x14ac:dyDescent="0.3">
      <c r="A18" s="2">
        <v>44306</v>
      </c>
      <c r="B18" s="1">
        <v>2600</v>
      </c>
      <c r="C18" s="1">
        <v>2604.6999510000001</v>
      </c>
      <c r="D18" s="1">
        <v>2528.8000489999999</v>
      </c>
      <c r="E18" s="1">
        <v>2553.6499020000001</v>
      </c>
      <c r="F18" s="1">
        <v>2538.0734859999998</v>
      </c>
      <c r="G18" s="1">
        <v>1489287</v>
      </c>
      <c r="H18" s="1">
        <v>2880</v>
      </c>
      <c r="I18" s="1">
        <v>2889.8000489999999</v>
      </c>
      <c r="J18" s="1">
        <v>2756</v>
      </c>
      <c r="K18" s="1">
        <v>2778.25</v>
      </c>
      <c r="L18" s="1">
        <v>2778.25</v>
      </c>
      <c r="M18" s="1">
        <v>451846</v>
      </c>
      <c r="Z18" s="2">
        <v>44306</v>
      </c>
      <c r="AA18" s="1">
        <f>INDEX($A:$M, MATCH(Z18, $A:$A, 0), MATCH($AA$1, $A$1:$M$1, 0))</f>
        <v>2880</v>
      </c>
      <c r="AB18" s="1">
        <f>INDEX(A:M, MATCH(Z18, A:A, 0), MATCH(AB17, A17:M17, 0))</f>
        <v>2600</v>
      </c>
    </row>
    <row r="19" spans="1:28" x14ac:dyDescent="0.3">
      <c r="A19" s="2">
        <v>44308</v>
      </c>
      <c r="B19" s="1">
        <v>2555.6499020000001</v>
      </c>
      <c r="C19" s="1">
        <v>2557</v>
      </c>
      <c r="D19" s="1">
        <v>2488</v>
      </c>
      <c r="E19" s="1">
        <v>2511.25</v>
      </c>
      <c r="F19" s="1">
        <v>2495.9321289999998</v>
      </c>
      <c r="G19" s="1">
        <v>1690758</v>
      </c>
      <c r="H19" s="1">
        <v>2785</v>
      </c>
      <c r="I19" s="1">
        <v>2792.8500979999999</v>
      </c>
      <c r="J19" s="1">
        <v>2699</v>
      </c>
      <c r="K19" s="1">
        <v>2717.6000979999999</v>
      </c>
      <c r="L19" s="1">
        <v>2717.6000979999999</v>
      </c>
      <c r="M19" s="1">
        <v>913846</v>
      </c>
      <c r="Z19" s="2">
        <v>44308</v>
      </c>
      <c r="AA19" s="1">
        <f>INDEX($A:$M, MATCH(Z19, $A:$A, 0), MATCH($AA$1, $A$1:$M$1, 0))</f>
        <v>2785</v>
      </c>
      <c r="AB19" s="1">
        <f>INDEX(A:M, MATCH(Z19, A:A, 0), MATCH(AB18, A18:M18, 0))</f>
        <v>2555.6499020000001</v>
      </c>
    </row>
    <row r="20" spans="1:28" x14ac:dyDescent="0.3">
      <c r="A20" s="2">
        <v>44309</v>
      </c>
      <c r="B20" s="1">
        <v>2527.1000979999999</v>
      </c>
      <c r="C20" s="1">
        <v>2565</v>
      </c>
      <c r="D20" s="1">
        <v>2496.1999510000001</v>
      </c>
      <c r="E20" s="1">
        <v>2517.9499510000001</v>
      </c>
      <c r="F20" s="1">
        <v>2502.5913089999999</v>
      </c>
      <c r="G20" s="1">
        <v>1614593</v>
      </c>
      <c r="H20" s="1">
        <v>2709</v>
      </c>
      <c r="I20" s="1">
        <v>2743.8999020000001</v>
      </c>
      <c r="J20" s="1">
        <v>2676.3999020000001</v>
      </c>
      <c r="K20" s="1">
        <v>2713.6999510000001</v>
      </c>
      <c r="L20" s="1">
        <v>2713.6999510000001</v>
      </c>
      <c r="M20" s="1">
        <v>436472</v>
      </c>
      <c r="Z20" s="2">
        <v>44309</v>
      </c>
      <c r="AA20" s="1">
        <f>INDEX($A:$M, MATCH(Z20, $A:$A, 0), MATCH($AA$1, $A$1:$M$1, 0))</f>
        <v>2709</v>
      </c>
      <c r="AB20" s="1">
        <f>INDEX(A:M, MATCH(Z20, A:A, 0), MATCH(AB19, A19:M19, 0))</f>
        <v>2527.1000979999999</v>
      </c>
    </row>
    <row r="21" spans="1:28" x14ac:dyDescent="0.3">
      <c r="A21" s="2">
        <v>44312</v>
      </c>
      <c r="B21" s="1">
        <v>2530</v>
      </c>
      <c r="C21" s="1">
        <v>2575</v>
      </c>
      <c r="D21" s="1">
        <v>2530</v>
      </c>
      <c r="E21" s="1">
        <v>2557.8999020000001</v>
      </c>
      <c r="F21" s="1">
        <v>2542.297607</v>
      </c>
      <c r="G21" s="1">
        <v>1103980</v>
      </c>
      <c r="H21" s="1">
        <v>2729.8999020000001</v>
      </c>
      <c r="I21" s="1">
        <v>2819.3999020000001</v>
      </c>
      <c r="J21" s="1">
        <v>2719.1499020000001</v>
      </c>
      <c r="K21" s="1">
        <v>2808.25</v>
      </c>
      <c r="L21" s="1">
        <v>2808.25</v>
      </c>
      <c r="M21" s="1">
        <v>476865</v>
      </c>
      <c r="Z21" s="2">
        <v>44312</v>
      </c>
      <c r="AA21" s="1">
        <f>INDEX($A:$M, MATCH(Z21, $A:$A, 0), MATCH($AA$1, $A$1:$M$1, 0))</f>
        <v>2729.8999020000001</v>
      </c>
      <c r="AB21" s="1">
        <f>INDEX(A:M, MATCH(Z21, A:A, 0), MATCH(AB20, A20:M20, 0))</f>
        <v>2530</v>
      </c>
    </row>
    <row r="22" spans="1:28" x14ac:dyDescent="0.3">
      <c r="A22" s="2">
        <v>44313</v>
      </c>
      <c r="B22" s="1">
        <v>2545</v>
      </c>
      <c r="C22" s="1">
        <v>2579.8999020000001</v>
      </c>
      <c r="D22" s="1">
        <v>2534</v>
      </c>
      <c r="E22" s="1">
        <v>2574.3500979999999</v>
      </c>
      <c r="F22" s="1">
        <v>2558.647461</v>
      </c>
      <c r="G22" s="1">
        <v>866331</v>
      </c>
      <c r="H22" s="1">
        <v>2815</v>
      </c>
      <c r="I22" s="1">
        <v>2865</v>
      </c>
      <c r="J22" s="1">
        <v>2810</v>
      </c>
      <c r="K22" s="1">
        <v>2826.9499510000001</v>
      </c>
      <c r="L22" s="1">
        <v>2826.9499510000001</v>
      </c>
      <c r="M22" s="1">
        <v>394477</v>
      </c>
      <c r="Q22" s="1" t="s">
        <v>0</v>
      </c>
      <c r="R22" s="2">
        <v>44644</v>
      </c>
      <c r="Z22" s="2">
        <v>44313</v>
      </c>
      <c r="AA22" s="1">
        <f>INDEX($A:$M, MATCH(Z22, $A:$A, 0), MATCH($AA$1, $A$1:$M$1, 0))</f>
        <v>2815</v>
      </c>
      <c r="AB22" s="1">
        <f>INDEX(A:M, MATCH(Z22, A:A, 0), MATCH(AB21, A21:M21, 0))</f>
        <v>2545</v>
      </c>
    </row>
    <row r="23" spans="1:28" x14ac:dyDescent="0.3">
      <c r="A23" s="2">
        <v>44314</v>
      </c>
      <c r="B23" s="1">
        <v>2588</v>
      </c>
      <c r="C23" s="1">
        <v>2620.25</v>
      </c>
      <c r="D23" s="1">
        <v>2575</v>
      </c>
      <c r="E23" s="1">
        <v>2614.5500489999999</v>
      </c>
      <c r="F23" s="1">
        <v>2598.6020509999998</v>
      </c>
      <c r="G23" s="1">
        <v>1065561</v>
      </c>
      <c r="H23" s="1">
        <v>2865</v>
      </c>
      <c r="I23" s="1">
        <v>2953.6999510000001</v>
      </c>
      <c r="J23" s="1">
        <v>2850.9499510000001</v>
      </c>
      <c r="K23" s="1">
        <v>2936.8000489999999</v>
      </c>
      <c r="L23" s="1">
        <v>2936.8000489999999</v>
      </c>
      <c r="M23" s="1">
        <v>542978</v>
      </c>
      <c r="Q23" s="1" t="s">
        <v>15</v>
      </c>
      <c r="R23" s="1">
        <f>INDEX($A:$M, MATCH($R$22, $A:$A, 0), MATCH($O$5&amp;" "&amp;Q23, $A$1:$M$1, 0))</f>
        <v>4086.25</v>
      </c>
      <c r="Z23" s="2">
        <v>44314</v>
      </c>
      <c r="AA23" s="1">
        <f>INDEX($A:$M, MATCH(Z23, $A:$A, 0), MATCH($AA$1, $A$1:$M$1, 0))</f>
        <v>2865</v>
      </c>
      <c r="AB23" s="1">
        <f>INDEX(A:M, MATCH(Z23, A:A, 0), MATCH(AB22, A22:M22, 0))</f>
        <v>2588</v>
      </c>
    </row>
    <row r="24" spans="1:28" x14ac:dyDescent="0.3">
      <c r="A24" s="2">
        <v>44315</v>
      </c>
      <c r="B24" s="1">
        <v>2630</v>
      </c>
      <c r="C24" s="1">
        <v>2642</v>
      </c>
      <c r="D24" s="1">
        <v>2570</v>
      </c>
      <c r="E24" s="1">
        <v>2613.4499510000001</v>
      </c>
      <c r="F24" s="1">
        <v>2597.508789</v>
      </c>
      <c r="G24" s="1">
        <v>1295346</v>
      </c>
      <c r="H24" s="1">
        <v>2960</v>
      </c>
      <c r="I24" s="1">
        <v>2988</v>
      </c>
      <c r="J24" s="1">
        <v>2880</v>
      </c>
      <c r="K24" s="1">
        <v>2906.3500979999999</v>
      </c>
      <c r="L24" s="1">
        <v>2906.3500979999999</v>
      </c>
      <c r="M24" s="1">
        <v>296752</v>
      </c>
      <c r="Q24" s="1" t="s">
        <v>16</v>
      </c>
      <c r="R24" s="1">
        <f>INDEX($A:$M, MATCH($R$22, $A:$A, 0), MATCH($O$5&amp;" "&amp;Q24, $A$1:$M$1, 0))</f>
        <v>4086.25</v>
      </c>
      <c r="Z24" s="2">
        <v>44315</v>
      </c>
      <c r="AA24" s="1">
        <f>INDEX($A:$M, MATCH(Z24, $A:$A, 0), MATCH($AA$1, $A$1:$M$1, 0))</f>
        <v>2960</v>
      </c>
      <c r="AB24" s="1">
        <f>INDEX(A:M, MATCH(Z24, A:A, 0), MATCH(AB23, A23:M23, 0))</f>
        <v>2630</v>
      </c>
    </row>
    <row r="25" spans="1:28" x14ac:dyDescent="0.3">
      <c r="A25" s="2">
        <v>44316</v>
      </c>
      <c r="B25" s="1">
        <v>2595</v>
      </c>
      <c r="C25" s="1">
        <v>2605.8000489999999</v>
      </c>
      <c r="D25" s="1">
        <v>2524.0500489999999</v>
      </c>
      <c r="E25" s="1">
        <v>2536.3999020000001</v>
      </c>
      <c r="F25" s="1">
        <v>2520.928711</v>
      </c>
      <c r="G25" s="1">
        <v>1384907</v>
      </c>
      <c r="H25" s="1">
        <v>2889.8000489999999</v>
      </c>
      <c r="I25" s="1">
        <v>2931.8999020000001</v>
      </c>
      <c r="J25" s="1">
        <v>2818.8999020000001</v>
      </c>
      <c r="K25" s="1">
        <v>2852.8999020000001</v>
      </c>
      <c r="L25" s="1">
        <v>2852.8999020000001</v>
      </c>
      <c r="M25" s="1">
        <v>322948</v>
      </c>
      <c r="Q25" s="1" t="s">
        <v>17</v>
      </c>
      <c r="R25" s="1">
        <f>INDEX(A:M, MATCH(R22, A:A, 0), MATCH(O5&amp;" "&amp;Q25, A1:M1, 0))</f>
        <v>4031.5500489999999</v>
      </c>
      <c r="Z25" s="2">
        <v>44316</v>
      </c>
      <c r="AA25" s="1">
        <f>INDEX($A:$M, MATCH(Z25, $A:$A, 0), MATCH($AA$1, $A$1:$M$1, 0))</f>
        <v>2889.8000489999999</v>
      </c>
      <c r="AB25" s="1">
        <f>INDEX(A:M, MATCH(Z25, A:A, 0), MATCH(AB24, A24:M24, 0))</f>
        <v>2595</v>
      </c>
    </row>
    <row r="26" spans="1:28" x14ac:dyDescent="0.3">
      <c r="A26" s="2">
        <v>44319</v>
      </c>
      <c r="B26" s="1">
        <v>2510</v>
      </c>
      <c r="C26" s="1">
        <v>2595.1000979999999</v>
      </c>
      <c r="D26" s="1">
        <v>2505.6000979999999</v>
      </c>
      <c r="E26" s="1">
        <v>2582.1499020000001</v>
      </c>
      <c r="F26" s="1">
        <v>2566.399414</v>
      </c>
      <c r="G26" s="1">
        <v>1034774</v>
      </c>
      <c r="H26" s="1">
        <v>2845</v>
      </c>
      <c r="I26" s="1">
        <v>2911</v>
      </c>
      <c r="J26" s="1">
        <v>2822.8999020000001</v>
      </c>
      <c r="K26" s="1">
        <v>2898.6499020000001</v>
      </c>
      <c r="L26" s="1">
        <v>2898.6499020000001</v>
      </c>
      <c r="M26" s="1">
        <v>232238</v>
      </c>
      <c r="Q26" s="1" t="s">
        <v>22</v>
      </c>
      <c r="R26" s="1">
        <f>MAX(INDEX(A:M, 0, MATCH(O5&amp;" "&amp;Q24, A1:M1, 0)))</f>
        <v>5900</v>
      </c>
      <c r="Z26" s="2">
        <v>44319</v>
      </c>
      <c r="AA26" s="1">
        <f>INDEX($A:$M, MATCH(Z26, $A:$A, 0), MATCH($AA$1, $A$1:$M$1, 0))</f>
        <v>2845</v>
      </c>
      <c r="AB26" s="1">
        <f>INDEX(A:M, MATCH(Z26, A:A, 0), MATCH(AB25, A25:M25, 0))</f>
        <v>2510</v>
      </c>
    </row>
    <row r="27" spans="1:28" x14ac:dyDescent="0.3">
      <c r="A27" s="2">
        <v>44320</v>
      </c>
      <c r="B27" s="1">
        <v>2605</v>
      </c>
      <c r="C27" s="1">
        <v>2617.9499510000001</v>
      </c>
      <c r="D27" s="1">
        <v>2571.5500489999999</v>
      </c>
      <c r="E27" s="1">
        <v>2587.1499020000001</v>
      </c>
      <c r="F27" s="1">
        <v>2571.3691410000001</v>
      </c>
      <c r="G27" s="1">
        <v>1058140</v>
      </c>
      <c r="H27" s="1">
        <v>2908</v>
      </c>
      <c r="I27" s="1">
        <v>2934.75</v>
      </c>
      <c r="J27" s="1">
        <v>2845</v>
      </c>
      <c r="K27" s="1">
        <v>2858.3999020000001</v>
      </c>
      <c r="L27" s="1">
        <v>2858.3999020000001</v>
      </c>
      <c r="M27" s="1">
        <v>239282</v>
      </c>
      <c r="Q27" s="1" t="s">
        <v>23</v>
      </c>
      <c r="R27" s="1">
        <f>MIN(INDEX(A:M, 0, MATCH(O5&amp;" "&amp;Q25, A1:M1, 0)))</f>
        <v>2676.3999020000001</v>
      </c>
      <c r="Z27" s="2">
        <v>44320</v>
      </c>
      <c r="AA27" s="1">
        <f>INDEX($A:$M, MATCH(Z27, $A:$A, 0), MATCH($AA$1, $A$1:$M$1, 0))</f>
        <v>2908</v>
      </c>
      <c r="AB27" s="1">
        <f>INDEX(A:M, MATCH(Z27, A:A, 0), MATCH(AB26, A26:M26, 0))</f>
        <v>2605</v>
      </c>
    </row>
    <row r="28" spans="1:28" x14ac:dyDescent="0.3">
      <c r="A28" s="2">
        <v>44321</v>
      </c>
      <c r="B28" s="1">
        <v>2617</v>
      </c>
      <c r="C28" s="1">
        <v>2617</v>
      </c>
      <c r="D28" s="1">
        <v>2546.1000979999999</v>
      </c>
      <c r="E28" s="1">
        <v>2567.6499020000001</v>
      </c>
      <c r="F28" s="1">
        <v>2551.9882809999999</v>
      </c>
      <c r="G28" s="1">
        <v>1220186</v>
      </c>
      <c r="H28" s="1">
        <v>2878.6999510000001</v>
      </c>
      <c r="I28" s="1">
        <v>2889.6000979999999</v>
      </c>
      <c r="J28" s="1">
        <v>2855</v>
      </c>
      <c r="K28" s="1">
        <v>2874.3999020000001</v>
      </c>
      <c r="L28" s="1">
        <v>2874.3999020000001</v>
      </c>
      <c r="M28" s="1">
        <v>136956</v>
      </c>
      <c r="Z28" s="2">
        <v>44321</v>
      </c>
      <c r="AA28" s="1">
        <f>INDEX($A:$M, MATCH(Z28, $A:$A, 0), MATCH($AA$1, $A$1:$M$1, 0))</f>
        <v>2878.6999510000001</v>
      </c>
      <c r="AB28" s="1">
        <f>INDEX(A:M, MATCH(Z28, A:A, 0), MATCH(AB27, A27:M27, 0))</f>
        <v>2617</v>
      </c>
    </row>
    <row r="29" spans="1:28" x14ac:dyDescent="0.3">
      <c r="A29" s="2">
        <v>44322</v>
      </c>
      <c r="B29" s="1">
        <v>2579.8500979999999</v>
      </c>
      <c r="C29" s="1">
        <v>2581.8500979999999</v>
      </c>
      <c r="D29" s="1">
        <v>2528</v>
      </c>
      <c r="E29" s="1">
        <v>2549.0500489999999</v>
      </c>
      <c r="F29" s="1">
        <v>2533.5014649999998</v>
      </c>
      <c r="G29" s="1">
        <v>1518119</v>
      </c>
      <c r="H29" s="1">
        <v>2874.9499510000001</v>
      </c>
      <c r="I29" s="1">
        <v>2895</v>
      </c>
      <c r="J29" s="1">
        <v>2850.5</v>
      </c>
      <c r="K29" s="1">
        <v>2878.1499020000001</v>
      </c>
      <c r="L29" s="1">
        <v>2878.1499020000001</v>
      </c>
      <c r="M29" s="1">
        <v>158581</v>
      </c>
      <c r="Z29" s="2">
        <v>44322</v>
      </c>
      <c r="AA29" s="1">
        <f>INDEX($A:$M, MATCH(Z29, $A:$A, 0), MATCH($AA$1, $A$1:$M$1, 0))</f>
        <v>2874.9499510000001</v>
      </c>
      <c r="AB29" s="1">
        <f>INDEX(A:M, MATCH(Z29, A:A, 0), MATCH(AB28, A28:M28, 0))</f>
        <v>2579.8500979999999</v>
      </c>
    </row>
    <row r="30" spans="1:28" x14ac:dyDescent="0.3">
      <c r="A30" s="2">
        <v>44323</v>
      </c>
      <c r="B30" s="1">
        <v>2555</v>
      </c>
      <c r="C30" s="1">
        <v>2590</v>
      </c>
      <c r="D30" s="1">
        <v>2541.5</v>
      </c>
      <c r="E30" s="1">
        <v>2551.6499020000001</v>
      </c>
      <c r="F30" s="1">
        <v>2536.085693</v>
      </c>
      <c r="G30" s="1">
        <v>1416102</v>
      </c>
      <c r="H30" s="1">
        <v>2880</v>
      </c>
      <c r="I30" s="1">
        <v>2955</v>
      </c>
      <c r="J30" s="1">
        <v>2855.5</v>
      </c>
      <c r="K30" s="1">
        <v>2895.5</v>
      </c>
      <c r="L30" s="1">
        <v>2895.5</v>
      </c>
      <c r="M30" s="1">
        <v>365600</v>
      </c>
      <c r="Z30" s="2">
        <v>44323</v>
      </c>
      <c r="AA30" s="1">
        <f>INDEX($A:$M, MATCH(Z30, $A:$A, 0), MATCH($AA$1, $A$1:$M$1, 0))</f>
        <v>2880</v>
      </c>
      <c r="AB30" s="1">
        <f>INDEX(A:M, MATCH(Z30, A:A, 0), MATCH(AB29, A29:M29, 0))</f>
        <v>2555</v>
      </c>
    </row>
    <row r="31" spans="1:28" x14ac:dyDescent="0.3">
      <c r="A31" s="2">
        <v>44326</v>
      </c>
      <c r="B31" s="1">
        <v>2589</v>
      </c>
      <c r="C31" s="1">
        <v>2589</v>
      </c>
      <c r="D31" s="1">
        <v>2542.1499020000001</v>
      </c>
      <c r="E31" s="1">
        <v>2556.9499510000001</v>
      </c>
      <c r="F31" s="1">
        <v>2541.3532709999999</v>
      </c>
      <c r="G31" s="1">
        <v>1526814</v>
      </c>
      <c r="H31" s="1">
        <v>2925</v>
      </c>
      <c r="I31" s="1">
        <v>2960</v>
      </c>
      <c r="J31" s="1">
        <v>2840</v>
      </c>
      <c r="K31" s="1">
        <v>2852.4499510000001</v>
      </c>
      <c r="L31" s="1">
        <v>2852.4499510000001</v>
      </c>
      <c r="M31" s="1">
        <v>771218</v>
      </c>
      <c r="Z31" s="2">
        <v>44326</v>
      </c>
      <c r="AA31" s="1">
        <f>INDEX($A:$M, MATCH(Z31, $A:$A, 0), MATCH($AA$1, $A$1:$M$1, 0))</f>
        <v>2925</v>
      </c>
      <c r="AB31" s="1">
        <f>INDEX(A:M, MATCH(Z31, A:A, 0), MATCH(AB30, A30:M30, 0))</f>
        <v>2589</v>
      </c>
    </row>
    <row r="32" spans="1:28" x14ac:dyDescent="0.3">
      <c r="A32" s="2">
        <v>44327</v>
      </c>
      <c r="B32" s="1">
        <v>2533</v>
      </c>
      <c r="C32" s="1">
        <v>2562</v>
      </c>
      <c r="D32" s="1">
        <v>2521.3000489999999</v>
      </c>
      <c r="E32" s="1">
        <v>2556.25</v>
      </c>
      <c r="F32" s="1">
        <v>2540.6577149999998</v>
      </c>
      <c r="G32" s="1">
        <v>1168363</v>
      </c>
      <c r="H32" s="1">
        <v>2850</v>
      </c>
      <c r="I32" s="1">
        <v>2884.6000979999999</v>
      </c>
      <c r="J32" s="1">
        <v>2825</v>
      </c>
      <c r="K32" s="1">
        <v>2850.5500489999999</v>
      </c>
      <c r="L32" s="1">
        <v>2850.5500489999999</v>
      </c>
      <c r="M32" s="1">
        <v>323511</v>
      </c>
      <c r="Z32" s="2">
        <v>44327</v>
      </c>
      <c r="AA32" s="1">
        <f>INDEX($A:$M, MATCH(Z32, $A:$A, 0), MATCH($AA$1, $A$1:$M$1, 0))</f>
        <v>2850</v>
      </c>
      <c r="AB32" s="1">
        <f>INDEX(A:M, MATCH(Z32, A:A, 0), MATCH(AB31, A31:M31, 0))</f>
        <v>2533</v>
      </c>
    </row>
    <row r="33" spans="1:28" x14ac:dyDescent="0.3">
      <c r="A33" s="2">
        <v>44328</v>
      </c>
      <c r="B33" s="1">
        <v>2577</v>
      </c>
      <c r="C33" s="1">
        <v>2588.9499510000001</v>
      </c>
      <c r="D33" s="1">
        <v>2530</v>
      </c>
      <c r="E33" s="1">
        <v>2556.1999510000001</v>
      </c>
      <c r="F33" s="1">
        <v>2540.6079100000002</v>
      </c>
      <c r="G33" s="1">
        <v>2085630</v>
      </c>
      <c r="H33" s="1">
        <v>2850.5500489999999</v>
      </c>
      <c r="I33" s="1">
        <v>2869.9499510000001</v>
      </c>
      <c r="J33" s="1">
        <v>2827.5</v>
      </c>
      <c r="K33" s="1">
        <v>2856.1499020000001</v>
      </c>
      <c r="L33" s="1">
        <v>2856.1499020000001</v>
      </c>
      <c r="M33" s="1">
        <v>246319</v>
      </c>
      <c r="Z33" s="2">
        <v>44328</v>
      </c>
      <c r="AA33" s="1">
        <f>INDEX($A:$M, MATCH(Z33, $A:$A, 0), MATCH($AA$1, $A$1:$M$1, 0))</f>
        <v>2850.5500489999999</v>
      </c>
      <c r="AB33" s="1">
        <f>INDEX(A:M, MATCH(Z33, A:A, 0), MATCH(AB32, A32:M32, 0))</f>
        <v>2577</v>
      </c>
    </row>
    <row r="34" spans="1:28" x14ac:dyDescent="0.3">
      <c r="A34" s="2">
        <v>44330</v>
      </c>
      <c r="B34" s="1">
        <v>2620</v>
      </c>
      <c r="C34" s="1">
        <v>2835.25</v>
      </c>
      <c r="D34" s="1">
        <v>2601.5500489999999</v>
      </c>
      <c r="E34" s="1">
        <v>2774.5</v>
      </c>
      <c r="F34" s="1">
        <v>2757.5764159999999</v>
      </c>
      <c r="G34" s="1">
        <v>10543708</v>
      </c>
      <c r="H34" s="1">
        <v>2874</v>
      </c>
      <c r="I34" s="1">
        <v>2874</v>
      </c>
      <c r="J34" s="1">
        <v>2830</v>
      </c>
      <c r="K34" s="1">
        <v>2844.6499020000001</v>
      </c>
      <c r="L34" s="1">
        <v>2844.6499020000001</v>
      </c>
      <c r="M34" s="1">
        <v>227259</v>
      </c>
      <c r="Z34" s="2">
        <v>44330</v>
      </c>
      <c r="AA34" s="1">
        <f>INDEX($A:$M, MATCH(Z34, $A:$A, 0), MATCH($AA$1, $A$1:$M$1, 0))</f>
        <v>2874</v>
      </c>
      <c r="AB34" s="1">
        <f>INDEX(A:M, MATCH(Z34, A:A, 0), MATCH(AB33, A33:M33, 0))</f>
        <v>2620</v>
      </c>
    </row>
    <row r="35" spans="1:28" x14ac:dyDescent="0.3">
      <c r="A35" s="2">
        <v>44333</v>
      </c>
      <c r="B35" s="1">
        <v>2782</v>
      </c>
      <c r="C35" s="1">
        <v>2824.1999510000001</v>
      </c>
      <c r="D35" s="1">
        <v>2747.5500489999999</v>
      </c>
      <c r="E35" s="1">
        <v>2782.75</v>
      </c>
      <c r="F35" s="1">
        <v>2765.7761230000001</v>
      </c>
      <c r="G35" s="1">
        <v>2134352</v>
      </c>
      <c r="H35" s="1">
        <v>2864</v>
      </c>
      <c r="I35" s="1">
        <v>2907.8999020000001</v>
      </c>
      <c r="J35" s="1">
        <v>2840.3000489999999</v>
      </c>
      <c r="K35" s="1">
        <v>2898.6999510000001</v>
      </c>
      <c r="L35" s="1">
        <v>2898.6999510000001</v>
      </c>
      <c r="M35" s="1">
        <v>449529</v>
      </c>
      <c r="Z35" s="2">
        <v>44333</v>
      </c>
      <c r="AA35" s="1">
        <f>INDEX($A:$M, MATCH(Z35, $A:$A, 0), MATCH($AA$1, $A$1:$M$1, 0))</f>
        <v>2864</v>
      </c>
      <c r="AB35" s="1">
        <f>INDEX(A:M, MATCH(Z35, A:A, 0), MATCH(AB34, A34:M34, 0))</f>
        <v>2782</v>
      </c>
    </row>
    <row r="36" spans="1:28" x14ac:dyDescent="0.3">
      <c r="A36" s="2">
        <v>44334</v>
      </c>
      <c r="B36" s="1">
        <v>2797</v>
      </c>
      <c r="C36" s="1">
        <v>2845</v>
      </c>
      <c r="D36" s="1">
        <v>2789</v>
      </c>
      <c r="E36" s="1">
        <v>2821.8000489999999</v>
      </c>
      <c r="F36" s="1">
        <v>2804.588135</v>
      </c>
      <c r="G36" s="1">
        <v>1328605</v>
      </c>
      <c r="H36" s="1">
        <v>2920</v>
      </c>
      <c r="I36" s="1">
        <v>3080</v>
      </c>
      <c r="J36" s="1">
        <v>2910.75</v>
      </c>
      <c r="K36" s="1">
        <v>3056.3000489999999</v>
      </c>
      <c r="L36" s="1">
        <v>3056.3000489999999</v>
      </c>
      <c r="M36" s="1">
        <v>1022329</v>
      </c>
      <c r="Z36" s="2">
        <v>44334</v>
      </c>
      <c r="AA36" s="1">
        <f>INDEX($A:$M, MATCH(Z36, $A:$A, 0), MATCH($AA$1, $A$1:$M$1, 0))</f>
        <v>2920</v>
      </c>
      <c r="AB36" s="1">
        <f>INDEX(A:M, MATCH(Z36, A:A, 0), MATCH(AB35, A35:M35, 0))</f>
        <v>2797</v>
      </c>
    </row>
    <row r="37" spans="1:28" x14ac:dyDescent="0.3">
      <c r="A37" s="2">
        <v>44335</v>
      </c>
      <c r="B37" s="1">
        <v>2805.1499020000001</v>
      </c>
      <c r="C37" s="1">
        <v>2849</v>
      </c>
      <c r="D37" s="1">
        <v>2798.6499020000001</v>
      </c>
      <c r="E37" s="1">
        <v>2815.8500979999999</v>
      </c>
      <c r="F37" s="1">
        <v>2798.6743160000001</v>
      </c>
      <c r="G37" s="1">
        <v>1219067</v>
      </c>
      <c r="H37" s="1">
        <v>3069</v>
      </c>
      <c r="I37" s="1">
        <v>3090.9499510000001</v>
      </c>
      <c r="J37" s="1">
        <v>3010.1000979999999</v>
      </c>
      <c r="K37" s="1">
        <v>3027.8999020000001</v>
      </c>
      <c r="L37" s="1">
        <v>3027.8999020000001</v>
      </c>
      <c r="M37" s="1">
        <v>683428</v>
      </c>
      <c r="Z37" s="2">
        <v>44335</v>
      </c>
      <c r="AA37" s="1">
        <f>INDEX($A:$M, MATCH(Z37, $A:$A, 0), MATCH($AA$1, $A$1:$M$1, 0))</f>
        <v>3069</v>
      </c>
      <c r="AB37" s="1">
        <f>INDEX(A:M, MATCH(Z37, A:A, 0), MATCH(AB36, A36:M36, 0))</f>
        <v>2805.1499020000001</v>
      </c>
    </row>
    <row r="38" spans="1:28" x14ac:dyDescent="0.3">
      <c r="A38" s="2">
        <v>44336</v>
      </c>
      <c r="B38" s="1">
        <v>2814</v>
      </c>
      <c r="C38" s="1">
        <v>2845</v>
      </c>
      <c r="D38" s="1">
        <v>2778.5</v>
      </c>
      <c r="E38" s="1">
        <v>2794.1000979999999</v>
      </c>
      <c r="F38" s="1">
        <v>2777.0571289999998</v>
      </c>
      <c r="G38" s="1">
        <v>1211975</v>
      </c>
      <c r="H38" s="1">
        <v>3055</v>
      </c>
      <c r="I38" s="1">
        <v>3055</v>
      </c>
      <c r="J38" s="1">
        <v>3001</v>
      </c>
      <c r="K38" s="1">
        <v>3026.6000979999999</v>
      </c>
      <c r="L38" s="1">
        <v>3026.6000979999999</v>
      </c>
      <c r="M38" s="1">
        <v>352477</v>
      </c>
      <c r="Z38" s="2">
        <v>44336</v>
      </c>
      <c r="AA38" s="1">
        <f>INDEX($A:$M, MATCH(Z38, $A:$A, 0), MATCH($AA$1, $A$1:$M$1, 0))</f>
        <v>3055</v>
      </c>
      <c r="AB38" s="1">
        <f>INDEX(A:M, MATCH(Z38, A:A, 0), MATCH(AB37, A37:M37, 0))</f>
        <v>2814</v>
      </c>
    </row>
    <row r="39" spans="1:28" x14ac:dyDescent="0.3">
      <c r="A39" s="2">
        <v>44337</v>
      </c>
      <c r="B39" s="1">
        <v>2807</v>
      </c>
      <c r="C39" s="1">
        <v>2854</v>
      </c>
      <c r="D39" s="1">
        <v>2795</v>
      </c>
      <c r="E39" s="1">
        <v>2832.5</v>
      </c>
      <c r="F39" s="1">
        <v>2815.2226559999999</v>
      </c>
      <c r="G39" s="1">
        <v>1328308</v>
      </c>
      <c r="H39" s="1">
        <v>3041</v>
      </c>
      <c r="I39" s="1">
        <v>3070</v>
      </c>
      <c r="J39" s="1">
        <v>3013</v>
      </c>
      <c r="K39" s="1">
        <v>3034.1499020000001</v>
      </c>
      <c r="L39" s="1">
        <v>3034.1499020000001</v>
      </c>
      <c r="M39" s="1">
        <v>375397</v>
      </c>
      <c r="Z39" s="2">
        <v>44337</v>
      </c>
      <c r="AA39" s="1">
        <f>INDEX($A:$M, MATCH(Z39, $A:$A, 0), MATCH($AA$1, $A$1:$M$1, 0))</f>
        <v>3041</v>
      </c>
      <c r="AB39" s="1">
        <f>INDEX(A:M, MATCH(Z39, A:A, 0), MATCH(AB38, A38:M38, 0))</f>
        <v>2807</v>
      </c>
    </row>
    <row r="40" spans="1:28" x14ac:dyDescent="0.3">
      <c r="A40" s="2">
        <v>44340</v>
      </c>
      <c r="B40" s="1">
        <v>2846</v>
      </c>
      <c r="C40" s="1">
        <v>2849</v>
      </c>
      <c r="D40" s="1">
        <v>2808.1999510000001</v>
      </c>
      <c r="E40" s="1">
        <v>2819.1999510000001</v>
      </c>
      <c r="F40" s="1">
        <v>2802.0036620000001</v>
      </c>
      <c r="G40" s="1">
        <v>813091</v>
      </c>
      <c r="H40" s="1">
        <v>3046</v>
      </c>
      <c r="I40" s="1">
        <v>3064.6999510000001</v>
      </c>
      <c r="J40" s="1">
        <v>3020</v>
      </c>
      <c r="K40" s="1">
        <v>3040.4499510000001</v>
      </c>
      <c r="L40" s="1">
        <v>3040.4499510000001</v>
      </c>
      <c r="M40" s="1">
        <v>236828</v>
      </c>
      <c r="Z40" s="2">
        <v>44340</v>
      </c>
      <c r="AA40" s="1">
        <f>INDEX($A:$M, MATCH(Z40, $A:$A, 0), MATCH($AA$1, $A$1:$M$1, 0))</f>
        <v>3046</v>
      </c>
      <c r="AB40" s="1">
        <f>INDEX(A:M, MATCH(Z40, A:A, 0), MATCH(AB39, A39:M39, 0))</f>
        <v>2846</v>
      </c>
    </row>
    <row r="41" spans="1:28" x14ac:dyDescent="0.3">
      <c r="A41" s="2">
        <v>44341</v>
      </c>
      <c r="B41" s="1">
        <v>2836.8999020000001</v>
      </c>
      <c r="C41" s="1">
        <v>2922.6499020000001</v>
      </c>
      <c r="D41" s="1">
        <v>2822.75</v>
      </c>
      <c r="E41" s="1">
        <v>2914.3999020000001</v>
      </c>
      <c r="F41" s="1">
        <v>2896.623047</v>
      </c>
      <c r="G41" s="1">
        <v>2730112</v>
      </c>
      <c r="H41" s="1">
        <v>3055</v>
      </c>
      <c r="I41" s="1">
        <v>3123</v>
      </c>
      <c r="J41" s="1">
        <v>3053</v>
      </c>
      <c r="K41" s="1">
        <v>3103.8500979999999</v>
      </c>
      <c r="L41" s="1">
        <v>3103.8500979999999</v>
      </c>
      <c r="M41" s="1">
        <v>455042</v>
      </c>
      <c r="Z41" s="2">
        <v>44341</v>
      </c>
      <c r="AA41" s="1">
        <f>INDEX($A:$M, MATCH(Z41, $A:$A, 0), MATCH($AA$1, $A$1:$M$1, 0))</f>
        <v>3055</v>
      </c>
      <c r="AB41" s="1">
        <f>INDEX(A:M, MATCH(Z41, A:A, 0), MATCH(AB40, A40:M40, 0))</f>
        <v>2836.8999020000001</v>
      </c>
    </row>
    <row r="42" spans="1:28" x14ac:dyDescent="0.3">
      <c r="A42" s="2">
        <v>44342</v>
      </c>
      <c r="B42" s="1">
        <v>2939.8500979999999</v>
      </c>
      <c r="C42" s="1">
        <v>2947.8999020000001</v>
      </c>
      <c r="D42" s="1">
        <v>2910.3999020000001</v>
      </c>
      <c r="E42" s="1">
        <v>2941.6000979999999</v>
      </c>
      <c r="F42" s="1">
        <v>2923.6572270000001</v>
      </c>
      <c r="G42" s="1">
        <v>1250531</v>
      </c>
      <c r="H42" s="1">
        <v>3125</v>
      </c>
      <c r="I42" s="1">
        <v>3135</v>
      </c>
      <c r="J42" s="1">
        <v>3070.4499510000001</v>
      </c>
      <c r="K42" s="1">
        <v>3096.1999510000001</v>
      </c>
      <c r="L42" s="1">
        <v>3096.1999510000001</v>
      </c>
      <c r="M42" s="1">
        <v>284202</v>
      </c>
      <c r="Z42" s="2">
        <v>44342</v>
      </c>
      <c r="AA42" s="1">
        <f>INDEX($A:$M, MATCH(Z42, $A:$A, 0), MATCH($AA$1, $A$1:$M$1, 0))</f>
        <v>3125</v>
      </c>
      <c r="AB42" s="1">
        <f>INDEX(A:M, MATCH(Z42, A:A, 0), MATCH(AB41, A41:M41, 0))</f>
        <v>2939.8500979999999</v>
      </c>
    </row>
    <row r="43" spans="1:28" x14ac:dyDescent="0.3">
      <c r="A43" s="2">
        <v>44343</v>
      </c>
      <c r="B43" s="1">
        <v>2950</v>
      </c>
      <c r="C43" s="1">
        <v>2965</v>
      </c>
      <c r="D43" s="1">
        <v>2902.25</v>
      </c>
      <c r="E43" s="1">
        <v>2949.3500979999999</v>
      </c>
      <c r="F43" s="1">
        <v>2931.360107</v>
      </c>
      <c r="G43" s="1">
        <v>2415085</v>
      </c>
      <c r="H43" s="1">
        <v>3100</v>
      </c>
      <c r="I43" s="1">
        <v>3104.9499510000001</v>
      </c>
      <c r="J43" s="1">
        <v>3008.1000979999999</v>
      </c>
      <c r="K43" s="1">
        <v>3025.5</v>
      </c>
      <c r="L43" s="1">
        <v>3025.5</v>
      </c>
      <c r="M43" s="1">
        <v>433634</v>
      </c>
      <c r="Z43" s="2">
        <v>44343</v>
      </c>
      <c r="AA43" s="1">
        <f>INDEX($A:$M, MATCH(Z43, $A:$A, 0), MATCH($AA$1, $A$1:$M$1, 0))</f>
        <v>3100</v>
      </c>
      <c r="AB43" s="1">
        <f>INDEX(A:M, MATCH(Z43, A:A, 0), MATCH(AB42, A42:M42, 0))</f>
        <v>2950</v>
      </c>
    </row>
    <row r="44" spans="1:28" x14ac:dyDescent="0.3">
      <c r="A44" s="2">
        <v>44344</v>
      </c>
      <c r="B44" s="1">
        <v>2958.1499020000001</v>
      </c>
      <c r="C44" s="1">
        <v>2963.8000489999999</v>
      </c>
      <c r="D44" s="1">
        <v>2931.1499020000001</v>
      </c>
      <c r="E44" s="1">
        <v>2940.6999510000001</v>
      </c>
      <c r="F44" s="1">
        <v>2922.7624510000001</v>
      </c>
      <c r="G44" s="1">
        <v>711383</v>
      </c>
      <c r="H44" s="1">
        <v>3052</v>
      </c>
      <c r="I44" s="1">
        <v>3105.5</v>
      </c>
      <c r="J44" s="1">
        <v>3000</v>
      </c>
      <c r="K44" s="1">
        <v>3022.1000979999999</v>
      </c>
      <c r="L44" s="1">
        <v>3022.1000979999999</v>
      </c>
      <c r="M44" s="1">
        <v>345903</v>
      </c>
      <c r="Z44" s="2">
        <v>44344</v>
      </c>
      <c r="AA44" s="1">
        <f>INDEX($A:$M, MATCH(Z44, $A:$A, 0), MATCH($AA$1, $A$1:$M$1, 0))</f>
        <v>3052</v>
      </c>
      <c r="AB44" s="1">
        <f>INDEX(A:M, MATCH(Z44, A:A, 0), MATCH(AB43, A43:M43, 0))</f>
        <v>2958.1499020000001</v>
      </c>
    </row>
    <row r="45" spans="1:28" x14ac:dyDescent="0.3">
      <c r="A45" s="2">
        <v>44347</v>
      </c>
      <c r="B45" s="1">
        <v>2938</v>
      </c>
      <c r="C45" s="1">
        <v>2989.9499510000001</v>
      </c>
      <c r="D45" s="1">
        <v>2936.1000979999999</v>
      </c>
      <c r="E45" s="1">
        <v>2977.5</v>
      </c>
      <c r="F45" s="1">
        <v>2959.3383789999998</v>
      </c>
      <c r="G45" s="1">
        <v>2093635</v>
      </c>
      <c r="H45" s="1">
        <v>3042.5</v>
      </c>
      <c r="I45" s="1">
        <v>3085</v>
      </c>
      <c r="J45" s="1">
        <v>3025</v>
      </c>
      <c r="K45" s="1">
        <v>3069.3999020000001</v>
      </c>
      <c r="L45" s="1">
        <v>3069.3999020000001</v>
      </c>
      <c r="M45" s="1">
        <v>318681</v>
      </c>
      <c r="Z45" s="2">
        <v>44347</v>
      </c>
      <c r="AA45" s="1">
        <f>INDEX($A:$M, MATCH(Z45, $A:$A, 0), MATCH($AA$1, $A$1:$M$1, 0))</f>
        <v>3042.5</v>
      </c>
      <c r="AB45" s="1">
        <f>INDEX(A:M, MATCH(Z45, A:A, 0), MATCH(AB44, A44:M44, 0))</f>
        <v>2938</v>
      </c>
    </row>
    <row r="46" spans="1:28" x14ac:dyDescent="0.3">
      <c r="A46" s="2">
        <v>44348</v>
      </c>
      <c r="B46" s="1">
        <v>2965</v>
      </c>
      <c r="C46" s="1">
        <v>2982.6000979999999</v>
      </c>
      <c r="D46" s="1">
        <v>2915.1000979999999</v>
      </c>
      <c r="E46" s="1">
        <v>2931</v>
      </c>
      <c r="F46" s="1">
        <v>2913.1218260000001</v>
      </c>
      <c r="G46" s="1">
        <v>1194073</v>
      </c>
      <c r="H46" s="1">
        <v>3071.0500489999999</v>
      </c>
      <c r="I46" s="1">
        <v>3087.9499510000001</v>
      </c>
      <c r="J46" s="1">
        <v>3030.8000489999999</v>
      </c>
      <c r="K46" s="1">
        <v>3044.8000489999999</v>
      </c>
      <c r="L46" s="1">
        <v>3044.8000489999999</v>
      </c>
      <c r="M46" s="1">
        <v>180498</v>
      </c>
      <c r="Z46" s="2">
        <v>44348</v>
      </c>
      <c r="AA46" s="1">
        <f>INDEX($A:$M, MATCH(Z46, $A:$A, 0), MATCH($AA$1, $A$1:$M$1, 0))</f>
        <v>3071.0500489999999</v>
      </c>
      <c r="AB46" s="1">
        <f>INDEX(A:M, MATCH(Z46, A:A, 0), MATCH(AB45, A45:M45, 0))</f>
        <v>2965</v>
      </c>
    </row>
    <row r="47" spans="1:28" x14ac:dyDescent="0.3">
      <c r="A47" s="2">
        <v>44349</v>
      </c>
      <c r="B47" s="1">
        <v>2918.8500979999999</v>
      </c>
      <c r="C47" s="1">
        <v>2933.75</v>
      </c>
      <c r="D47" s="1">
        <v>2877.1499020000001</v>
      </c>
      <c r="E47" s="1">
        <v>2903.6999510000001</v>
      </c>
      <c r="F47" s="1">
        <v>2885.9882809999999</v>
      </c>
      <c r="G47" s="1">
        <v>2067842</v>
      </c>
      <c r="H47" s="1">
        <v>3050</v>
      </c>
      <c r="I47" s="1">
        <v>3093.3000489999999</v>
      </c>
      <c r="J47" s="1">
        <v>3050</v>
      </c>
      <c r="K47" s="1">
        <v>3066.1999510000001</v>
      </c>
      <c r="L47" s="1">
        <v>3066.1999510000001</v>
      </c>
      <c r="M47" s="1">
        <v>236968</v>
      </c>
      <c r="Z47" s="2">
        <v>44349</v>
      </c>
      <c r="AA47" s="1">
        <f>INDEX($A:$M, MATCH(Z47, $A:$A, 0), MATCH($AA$1, $A$1:$M$1, 0))</f>
        <v>3050</v>
      </c>
      <c r="AB47" s="1">
        <f>INDEX(A:M, MATCH(Z47, A:A, 0), MATCH(AB46, A46:M46, 0))</f>
        <v>2918.8500979999999</v>
      </c>
    </row>
    <row r="48" spans="1:28" x14ac:dyDescent="0.3">
      <c r="A48" s="2">
        <v>44350</v>
      </c>
      <c r="B48" s="1">
        <v>2919.6000979999999</v>
      </c>
      <c r="C48" s="1">
        <v>2942</v>
      </c>
      <c r="D48" s="1">
        <v>2904.0500489999999</v>
      </c>
      <c r="E48" s="1">
        <v>2935.3500979999999</v>
      </c>
      <c r="F48" s="1">
        <v>2917.4453130000002</v>
      </c>
      <c r="G48" s="1">
        <v>1404434</v>
      </c>
      <c r="H48" s="1">
        <v>3080</v>
      </c>
      <c r="I48" s="1">
        <v>3200</v>
      </c>
      <c r="J48" s="1">
        <v>3075.3000489999999</v>
      </c>
      <c r="K48" s="1">
        <v>3192.6999510000001</v>
      </c>
      <c r="L48" s="1">
        <v>3192.6999510000001</v>
      </c>
      <c r="M48" s="1">
        <v>820805</v>
      </c>
      <c r="Z48" s="2">
        <v>44350</v>
      </c>
      <c r="AA48" s="1">
        <f>INDEX($A:$M, MATCH(Z48, $A:$A, 0), MATCH($AA$1, $A$1:$M$1, 0))</f>
        <v>3080</v>
      </c>
      <c r="AB48" s="1">
        <f>INDEX(A:M, MATCH(Z48, A:A, 0), MATCH(AB47, A47:M47, 0))</f>
        <v>2919.6000979999999</v>
      </c>
    </row>
    <row r="49" spans="1:28" x14ac:dyDescent="0.3">
      <c r="A49" s="2">
        <v>44351</v>
      </c>
      <c r="B49" s="1">
        <v>2953</v>
      </c>
      <c r="C49" s="1">
        <v>2990</v>
      </c>
      <c r="D49" s="1">
        <v>2908</v>
      </c>
      <c r="E49" s="1">
        <v>2924.8999020000001</v>
      </c>
      <c r="F49" s="1">
        <v>2907.0590820000002</v>
      </c>
      <c r="G49" s="1">
        <v>1509084</v>
      </c>
      <c r="H49" s="1">
        <v>3222</v>
      </c>
      <c r="I49" s="1">
        <v>3257</v>
      </c>
      <c r="J49" s="1">
        <v>3170</v>
      </c>
      <c r="K49" s="1">
        <v>3197</v>
      </c>
      <c r="L49" s="1">
        <v>3197</v>
      </c>
      <c r="M49" s="1">
        <v>393038</v>
      </c>
      <c r="Z49" s="2">
        <v>44351</v>
      </c>
      <c r="AA49" s="1">
        <f>INDEX($A:$M, MATCH(Z49, $A:$A, 0), MATCH($AA$1, $A$1:$M$1, 0))</f>
        <v>3222</v>
      </c>
      <c r="AB49" s="1">
        <f>INDEX(A:M, MATCH(Z49, A:A, 0), MATCH(AB48, A48:M48, 0))</f>
        <v>2953</v>
      </c>
    </row>
    <row r="50" spans="1:28" x14ac:dyDescent="0.3">
      <c r="A50" s="2">
        <v>44354</v>
      </c>
      <c r="B50" s="1">
        <v>2930</v>
      </c>
      <c r="C50" s="1">
        <v>2941</v>
      </c>
      <c r="D50" s="1">
        <v>2903.9499510000001</v>
      </c>
      <c r="E50" s="1">
        <v>2933.1000979999999</v>
      </c>
      <c r="F50" s="1">
        <v>2915.2092290000001</v>
      </c>
      <c r="G50" s="1">
        <v>802415</v>
      </c>
      <c r="H50" s="1">
        <v>3219.9499510000001</v>
      </c>
      <c r="I50" s="1">
        <v>3221.6000979999999</v>
      </c>
      <c r="J50" s="1">
        <v>3175.0500489999999</v>
      </c>
      <c r="K50" s="1">
        <v>3188.9499510000001</v>
      </c>
      <c r="L50" s="1">
        <v>3188.9499510000001</v>
      </c>
      <c r="M50" s="1">
        <v>196757</v>
      </c>
      <c r="Z50" s="2">
        <v>44354</v>
      </c>
      <c r="AA50" s="1">
        <f>INDEX($A:$M, MATCH(Z50, $A:$A, 0), MATCH($AA$1, $A$1:$M$1, 0))</f>
        <v>3219.9499510000001</v>
      </c>
      <c r="AB50" s="1">
        <f>INDEX(A:M, MATCH(Z50, A:A, 0), MATCH(AB49, A49:M49, 0))</f>
        <v>2930</v>
      </c>
    </row>
    <row r="51" spans="1:28" x14ac:dyDescent="0.3">
      <c r="A51" s="2">
        <v>44355</v>
      </c>
      <c r="B51" s="1">
        <v>2928</v>
      </c>
      <c r="C51" s="1">
        <v>2944.25</v>
      </c>
      <c r="D51" s="1">
        <v>2907.5</v>
      </c>
      <c r="E51" s="1">
        <v>2926.25</v>
      </c>
      <c r="F51" s="1">
        <v>2908.4008789999998</v>
      </c>
      <c r="G51" s="1">
        <v>762931</v>
      </c>
      <c r="H51" s="1">
        <v>3200</v>
      </c>
      <c r="I51" s="1">
        <v>3210</v>
      </c>
      <c r="J51" s="1">
        <v>3165</v>
      </c>
      <c r="K51" s="1">
        <v>3179.8000489999999</v>
      </c>
      <c r="L51" s="1">
        <v>3179.8000489999999</v>
      </c>
      <c r="M51" s="1">
        <v>171578</v>
      </c>
      <c r="Z51" s="2">
        <v>44355</v>
      </c>
      <c r="AA51" s="1">
        <f>INDEX($A:$M, MATCH(Z51, $A:$A, 0), MATCH($AA$1, $A$1:$M$1, 0))</f>
        <v>3200</v>
      </c>
      <c r="AB51" s="1">
        <f>INDEX(A:M, MATCH(Z51, A:A, 0), MATCH(AB50, A50:M50, 0))</f>
        <v>2928</v>
      </c>
    </row>
    <row r="52" spans="1:28" x14ac:dyDescent="0.3">
      <c r="A52" s="2">
        <v>44356</v>
      </c>
      <c r="B52" s="1">
        <v>2930.8000489999999</v>
      </c>
      <c r="C52" s="1">
        <v>2965</v>
      </c>
      <c r="D52" s="1">
        <v>2919.6000979999999</v>
      </c>
      <c r="E52" s="1">
        <v>2943.5500489999999</v>
      </c>
      <c r="F52" s="1">
        <v>2925.5954590000001</v>
      </c>
      <c r="G52" s="1">
        <v>1340352</v>
      </c>
      <c r="H52" s="1">
        <v>3198</v>
      </c>
      <c r="I52" s="1">
        <v>3254.3999020000001</v>
      </c>
      <c r="J52" s="1">
        <v>3160</v>
      </c>
      <c r="K52" s="1">
        <v>3194.6999510000001</v>
      </c>
      <c r="L52" s="1">
        <v>3194.6999510000001</v>
      </c>
      <c r="M52" s="1">
        <v>397348</v>
      </c>
      <c r="Z52" s="2">
        <v>44356</v>
      </c>
      <c r="AA52" s="1">
        <f>INDEX($A:$M, MATCH(Z52, $A:$A, 0), MATCH($AA$1, $A$1:$M$1, 0))</f>
        <v>3198</v>
      </c>
      <c r="AB52" s="1">
        <f>INDEX(A:M, MATCH(Z52, A:A, 0), MATCH(AB51, A51:M51, 0))</f>
        <v>2930.8000489999999</v>
      </c>
    </row>
    <row r="53" spans="1:28" x14ac:dyDescent="0.3">
      <c r="A53" s="2">
        <v>44357</v>
      </c>
      <c r="B53" s="1">
        <v>2945</v>
      </c>
      <c r="C53" s="1">
        <v>2959.3000489999999</v>
      </c>
      <c r="D53" s="1">
        <v>2920.6499020000001</v>
      </c>
      <c r="E53" s="1">
        <v>2950.6000979999999</v>
      </c>
      <c r="F53" s="1">
        <v>2947.1198730000001</v>
      </c>
      <c r="G53" s="1">
        <v>1344559</v>
      </c>
      <c r="H53" s="1">
        <v>3206.8500979999999</v>
      </c>
      <c r="I53" s="1">
        <v>3240</v>
      </c>
      <c r="J53" s="1">
        <v>3181.0500489999999</v>
      </c>
      <c r="K53" s="1">
        <v>3194.5</v>
      </c>
      <c r="L53" s="1">
        <v>3194.5</v>
      </c>
      <c r="M53" s="1">
        <v>236409</v>
      </c>
      <c r="Z53" s="2">
        <v>44357</v>
      </c>
      <c r="AA53" s="1">
        <f>INDEX($A:$M, MATCH(Z53, $A:$A, 0), MATCH($AA$1, $A$1:$M$1, 0))</f>
        <v>3206.8500979999999</v>
      </c>
      <c r="AB53" s="1">
        <f>INDEX(A:M, MATCH(Z53, A:A, 0), MATCH(AB52, A52:M52, 0))</f>
        <v>2945</v>
      </c>
    </row>
    <row r="54" spans="1:28" x14ac:dyDescent="0.3">
      <c r="A54" s="2">
        <v>44358</v>
      </c>
      <c r="B54" s="1">
        <v>2960</v>
      </c>
      <c r="C54" s="1">
        <v>2971.6000979999999</v>
      </c>
      <c r="D54" s="1">
        <v>2938.6000979999999</v>
      </c>
      <c r="E54" s="1">
        <v>2956.25</v>
      </c>
      <c r="F54" s="1">
        <v>2952.7631839999999</v>
      </c>
      <c r="G54" s="1">
        <v>878445</v>
      </c>
      <c r="H54" s="1">
        <v>3215</v>
      </c>
      <c r="I54" s="1">
        <v>3224.1000979999999</v>
      </c>
      <c r="J54" s="1">
        <v>3161</v>
      </c>
      <c r="K54" s="1">
        <v>3175.5500489999999</v>
      </c>
      <c r="L54" s="1">
        <v>3175.5500489999999</v>
      </c>
      <c r="M54" s="1">
        <v>158635</v>
      </c>
      <c r="Z54" s="2">
        <v>44358</v>
      </c>
      <c r="AA54" s="1">
        <f>INDEX($A:$M, MATCH(Z54, $A:$A, 0), MATCH($AA$1, $A$1:$M$1, 0))</f>
        <v>3215</v>
      </c>
      <c r="AB54" s="1">
        <f>INDEX(A:M, MATCH(Z54, A:A, 0), MATCH(AB53, A53:M53, 0))</f>
        <v>2960</v>
      </c>
    </row>
    <row r="55" spans="1:28" x14ac:dyDescent="0.3">
      <c r="A55" s="2">
        <v>44361</v>
      </c>
      <c r="B55" s="1">
        <v>2955.1000979999999</v>
      </c>
      <c r="C55" s="1">
        <v>2970</v>
      </c>
      <c r="D55" s="1">
        <v>2916.5</v>
      </c>
      <c r="E55" s="1">
        <v>2949.8999020000001</v>
      </c>
      <c r="F55" s="1">
        <v>2946.420654</v>
      </c>
      <c r="G55" s="1">
        <v>746823</v>
      </c>
      <c r="H55" s="1">
        <v>3180</v>
      </c>
      <c r="I55" s="1">
        <v>3294</v>
      </c>
      <c r="J55" s="1">
        <v>3108.0500489999999</v>
      </c>
      <c r="K55" s="1">
        <v>3274.1000979999999</v>
      </c>
      <c r="L55" s="1">
        <v>3274.1000979999999</v>
      </c>
      <c r="M55" s="1">
        <v>735981</v>
      </c>
      <c r="Z55" s="2">
        <v>44361</v>
      </c>
      <c r="AA55" s="1">
        <f>INDEX($A:$M, MATCH(Z55, $A:$A, 0), MATCH($AA$1, $A$1:$M$1, 0))</f>
        <v>3180</v>
      </c>
      <c r="AB55" s="1">
        <f>INDEX(A:M, MATCH(Z55, A:A, 0), MATCH(AB54, A54:M54, 0))</f>
        <v>2955.1000979999999</v>
      </c>
    </row>
    <row r="56" spans="1:28" x14ac:dyDescent="0.3">
      <c r="A56" s="2">
        <v>44362</v>
      </c>
      <c r="B56" s="1">
        <v>2970</v>
      </c>
      <c r="C56" s="1">
        <v>3050</v>
      </c>
      <c r="D56" s="1">
        <v>2960.9499510000001</v>
      </c>
      <c r="E56" s="1">
        <v>3042.1999510000001</v>
      </c>
      <c r="F56" s="1">
        <v>3038.6118160000001</v>
      </c>
      <c r="G56" s="1">
        <v>2262031</v>
      </c>
      <c r="H56" s="1">
        <v>3300</v>
      </c>
      <c r="I56" s="1">
        <v>3394.4499510000001</v>
      </c>
      <c r="J56" s="1">
        <v>3294</v>
      </c>
      <c r="K56" s="1">
        <v>3359.5</v>
      </c>
      <c r="L56" s="1">
        <v>3359.5</v>
      </c>
      <c r="M56" s="1">
        <v>884874</v>
      </c>
      <c r="Z56" s="2">
        <v>44362</v>
      </c>
      <c r="AA56" s="1">
        <f>INDEX($A:$M, MATCH(Z56, $A:$A, 0), MATCH($AA$1, $A$1:$M$1, 0))</f>
        <v>3300</v>
      </c>
      <c r="AB56" s="1">
        <f>INDEX(A:M, MATCH(Z56, A:A, 0), MATCH(AB55, A55:M55, 0))</f>
        <v>2970</v>
      </c>
    </row>
    <row r="57" spans="1:28" x14ac:dyDescent="0.3">
      <c r="A57" s="2">
        <v>44363</v>
      </c>
      <c r="B57" s="1">
        <v>3029</v>
      </c>
      <c r="C57" s="1">
        <v>3042.1999510000001</v>
      </c>
      <c r="D57" s="1">
        <v>3005.5</v>
      </c>
      <c r="E57" s="1">
        <v>3018.6999510000001</v>
      </c>
      <c r="F57" s="1">
        <v>3015.139404</v>
      </c>
      <c r="G57" s="1">
        <v>859505</v>
      </c>
      <c r="H57" s="1">
        <v>3359.5</v>
      </c>
      <c r="I57" s="1">
        <v>3396.8999020000001</v>
      </c>
      <c r="J57" s="1">
        <v>3275.6499020000001</v>
      </c>
      <c r="K57" s="1">
        <v>3310.3999020000001</v>
      </c>
      <c r="L57" s="1">
        <v>3310.3999020000001</v>
      </c>
      <c r="M57" s="1">
        <v>441188</v>
      </c>
      <c r="Z57" s="2">
        <v>44363</v>
      </c>
      <c r="AA57" s="1">
        <f>INDEX($A:$M, MATCH(Z57, $A:$A, 0), MATCH($AA$1, $A$1:$M$1, 0))</f>
        <v>3359.5</v>
      </c>
      <c r="AB57" s="1">
        <f>INDEX(A:M, MATCH(Z57, A:A, 0), MATCH(AB56, A56:M56, 0))</f>
        <v>3029</v>
      </c>
    </row>
    <row r="58" spans="1:28" x14ac:dyDescent="0.3">
      <c r="A58" s="2">
        <v>44364</v>
      </c>
      <c r="B58" s="1">
        <v>3017.9499510000001</v>
      </c>
      <c r="C58" s="1">
        <v>3073.9499510000001</v>
      </c>
      <c r="D58" s="1">
        <v>3000.5</v>
      </c>
      <c r="E58" s="1">
        <v>3060.3000489999999</v>
      </c>
      <c r="F58" s="1">
        <v>3056.6906739999999</v>
      </c>
      <c r="G58" s="1">
        <v>1533864</v>
      </c>
      <c r="H58" s="1">
        <v>3283.9499510000001</v>
      </c>
      <c r="I58" s="1">
        <v>3306.6000979999999</v>
      </c>
      <c r="J58" s="1">
        <v>3260</v>
      </c>
      <c r="K58" s="1">
        <v>3285.5500489999999</v>
      </c>
      <c r="L58" s="1">
        <v>3285.5500489999999</v>
      </c>
      <c r="M58" s="1">
        <v>290181</v>
      </c>
      <c r="Z58" s="2">
        <v>44364</v>
      </c>
      <c r="AA58" s="1">
        <f>INDEX($A:$M, MATCH(Z58, $A:$A, 0), MATCH($AA$1, $A$1:$M$1, 0))</f>
        <v>3283.9499510000001</v>
      </c>
      <c r="AB58" s="1">
        <f>INDEX(A:M, MATCH(Z58, A:A, 0), MATCH(AB57, A57:M57, 0))</f>
        <v>3017.9499510000001</v>
      </c>
    </row>
    <row r="59" spans="1:28" x14ac:dyDescent="0.3">
      <c r="A59" s="2">
        <v>44365</v>
      </c>
      <c r="B59" s="1">
        <v>3061.5500489999999</v>
      </c>
      <c r="C59" s="1">
        <v>3077.8000489999999</v>
      </c>
      <c r="D59" s="1">
        <v>3016.0500489999999</v>
      </c>
      <c r="E59" s="1">
        <v>3047.1999510000001</v>
      </c>
      <c r="F59" s="1">
        <v>3043.6059570000002</v>
      </c>
      <c r="G59" s="1">
        <v>2293860</v>
      </c>
      <c r="H59" s="1">
        <v>3317.5</v>
      </c>
      <c r="I59" s="1">
        <v>3372.3500979999999</v>
      </c>
      <c r="J59" s="1">
        <v>3252.1999510000001</v>
      </c>
      <c r="K59" s="1">
        <v>3317.6999510000001</v>
      </c>
      <c r="L59" s="1">
        <v>3317.6999510000001</v>
      </c>
      <c r="M59" s="1">
        <v>765935</v>
      </c>
      <c r="Z59" s="2">
        <v>44365</v>
      </c>
      <c r="AA59" s="1">
        <f>INDEX($A:$M, MATCH(Z59, $A:$A, 0), MATCH($AA$1, $A$1:$M$1, 0))</f>
        <v>3317.5</v>
      </c>
      <c r="AB59" s="1">
        <f>INDEX(A:M, MATCH(Z59, A:A, 0), MATCH(AB58, A58:M58, 0))</f>
        <v>3061.5500489999999</v>
      </c>
    </row>
    <row r="60" spans="1:28" x14ac:dyDescent="0.3">
      <c r="A60" s="2">
        <v>44368</v>
      </c>
      <c r="B60" s="1">
        <v>3024.1999510000001</v>
      </c>
      <c r="C60" s="1">
        <v>3079.1499020000001</v>
      </c>
      <c r="D60" s="1">
        <v>3021.0500489999999</v>
      </c>
      <c r="E60" s="1">
        <v>3068.5500489999999</v>
      </c>
      <c r="F60" s="1">
        <v>3064.9309079999998</v>
      </c>
      <c r="G60" s="1">
        <v>720491</v>
      </c>
      <c r="H60" s="1">
        <v>3319.6999510000001</v>
      </c>
      <c r="I60" s="1">
        <v>3319.6999510000001</v>
      </c>
      <c r="J60" s="1">
        <v>3274</v>
      </c>
      <c r="K60" s="1">
        <v>3311</v>
      </c>
      <c r="L60" s="1">
        <v>3311</v>
      </c>
      <c r="M60" s="1">
        <v>164977</v>
      </c>
      <c r="Z60" s="2">
        <v>44368</v>
      </c>
      <c r="AA60" s="1">
        <f>INDEX($A:$M, MATCH(Z60, $A:$A, 0), MATCH($AA$1, $A$1:$M$1, 0))</f>
        <v>3319.6999510000001</v>
      </c>
      <c r="AB60" s="1">
        <f>INDEX(A:M, MATCH(Z60, A:A, 0), MATCH(AB59, A59:M59, 0))</f>
        <v>3024.1999510000001</v>
      </c>
    </row>
    <row r="61" spans="1:28" x14ac:dyDescent="0.3">
      <c r="A61" s="2">
        <v>44369</v>
      </c>
      <c r="B61" s="1">
        <v>3085</v>
      </c>
      <c r="C61" s="1">
        <v>3092.8500979999999</v>
      </c>
      <c r="D61" s="1">
        <v>3004.1999510000001</v>
      </c>
      <c r="E61" s="1">
        <v>3010.8000489999999</v>
      </c>
      <c r="F61" s="1">
        <v>3007.2490229999999</v>
      </c>
      <c r="G61" s="1">
        <v>1199238</v>
      </c>
      <c r="H61" s="1">
        <v>3328</v>
      </c>
      <c r="I61" s="1">
        <v>3408.4499510000001</v>
      </c>
      <c r="J61" s="1">
        <v>3320</v>
      </c>
      <c r="K61" s="1">
        <v>3373.8000489999999</v>
      </c>
      <c r="L61" s="1">
        <v>3373.8000489999999</v>
      </c>
      <c r="M61" s="1">
        <v>518266</v>
      </c>
      <c r="Z61" s="2">
        <v>44369</v>
      </c>
      <c r="AA61" s="1">
        <f>INDEX($A:$M, MATCH(Z61, $A:$A, 0), MATCH($AA$1, $A$1:$M$1, 0))</f>
        <v>3328</v>
      </c>
      <c r="AB61" s="1">
        <f>INDEX(A:M, MATCH(Z61, A:A, 0), MATCH(AB60, A60:M60, 0))</f>
        <v>3085</v>
      </c>
    </row>
    <row r="62" spans="1:28" x14ac:dyDescent="0.3">
      <c r="A62" s="2">
        <v>44370</v>
      </c>
      <c r="B62" s="1">
        <v>3030</v>
      </c>
      <c r="C62" s="1">
        <v>3030</v>
      </c>
      <c r="D62" s="1">
        <v>2983.5</v>
      </c>
      <c r="E62" s="1">
        <v>2987.3500979999999</v>
      </c>
      <c r="F62" s="1">
        <v>2983.8266600000002</v>
      </c>
      <c r="G62" s="1">
        <v>1009007</v>
      </c>
      <c r="H62" s="1">
        <v>3400</v>
      </c>
      <c r="I62" s="1">
        <v>3400</v>
      </c>
      <c r="J62" s="1">
        <v>3300.9499510000001</v>
      </c>
      <c r="K62" s="1">
        <v>3310.8999020000001</v>
      </c>
      <c r="L62" s="1">
        <v>3310.8999020000001</v>
      </c>
      <c r="M62" s="1">
        <v>244160</v>
      </c>
      <c r="Z62" s="2">
        <v>44370</v>
      </c>
      <c r="AA62" s="1">
        <f>INDEX($A:$M, MATCH(Z62, $A:$A, 0), MATCH($AA$1, $A$1:$M$1, 0))</f>
        <v>3400</v>
      </c>
      <c r="AB62" s="1">
        <f>INDEX(A:M, MATCH(Z62, A:A, 0), MATCH(AB61, A61:M61, 0))</f>
        <v>3030</v>
      </c>
    </row>
    <row r="63" spans="1:28" x14ac:dyDescent="0.3">
      <c r="A63" s="2">
        <v>44371</v>
      </c>
      <c r="B63" s="1">
        <v>2987.3500979999999</v>
      </c>
      <c r="C63" s="1">
        <v>3049.6999510000001</v>
      </c>
      <c r="D63" s="1">
        <v>2975.4499510000001</v>
      </c>
      <c r="E63" s="1">
        <v>3043.25</v>
      </c>
      <c r="F63" s="1">
        <v>3039.6606449999999</v>
      </c>
      <c r="G63" s="1">
        <v>985596</v>
      </c>
      <c r="H63" s="1">
        <v>3345</v>
      </c>
      <c r="I63" s="1">
        <v>3352</v>
      </c>
      <c r="J63" s="1">
        <v>3304</v>
      </c>
      <c r="K63" s="1">
        <v>3323.8000489999999</v>
      </c>
      <c r="L63" s="1">
        <v>3323.8000489999999</v>
      </c>
      <c r="M63" s="1">
        <v>157652</v>
      </c>
      <c r="Z63" s="2">
        <v>44371</v>
      </c>
      <c r="AA63" s="1">
        <f>INDEX($A:$M, MATCH(Z63, $A:$A, 0), MATCH($AA$1, $A$1:$M$1, 0))</f>
        <v>3345</v>
      </c>
      <c r="AB63" s="1">
        <f>INDEX(A:M, MATCH(Z63, A:A, 0), MATCH(AB62, A62:M62, 0))</f>
        <v>2987.3500979999999</v>
      </c>
    </row>
    <row r="64" spans="1:28" x14ac:dyDescent="0.3">
      <c r="A64" s="2">
        <v>44372</v>
      </c>
      <c r="B64" s="1">
        <v>3030.1999510000001</v>
      </c>
      <c r="C64" s="1">
        <v>3053.5</v>
      </c>
      <c r="D64" s="1">
        <v>2985</v>
      </c>
      <c r="E64" s="1">
        <v>3003.8999020000001</v>
      </c>
      <c r="F64" s="1">
        <v>3000.3569339999999</v>
      </c>
      <c r="G64" s="1">
        <v>786964</v>
      </c>
      <c r="H64" s="1">
        <v>3325</v>
      </c>
      <c r="I64" s="1">
        <v>3347.8500979999999</v>
      </c>
      <c r="J64" s="1">
        <v>3307</v>
      </c>
      <c r="K64" s="1">
        <v>3315.3500979999999</v>
      </c>
      <c r="L64" s="1">
        <v>3315.3500979999999</v>
      </c>
      <c r="M64" s="1">
        <v>107596</v>
      </c>
      <c r="Z64" s="2">
        <v>44372</v>
      </c>
      <c r="AA64" s="1">
        <f>INDEX($A:$M, MATCH(Z64, $A:$A, 0), MATCH($AA$1, $A$1:$M$1, 0))</f>
        <v>3325</v>
      </c>
      <c r="AB64" s="1">
        <f>INDEX(A:M, MATCH(Z64, A:A, 0), MATCH(AB63, A63:M63, 0))</f>
        <v>3030.1999510000001</v>
      </c>
    </row>
    <row r="65" spans="1:28" x14ac:dyDescent="0.3">
      <c r="A65" s="2">
        <v>44375</v>
      </c>
      <c r="B65" s="1">
        <v>3024</v>
      </c>
      <c r="C65" s="1">
        <v>3038.8500979999999</v>
      </c>
      <c r="D65" s="1">
        <v>2976.25</v>
      </c>
      <c r="E65" s="1">
        <v>2982.9499510000001</v>
      </c>
      <c r="F65" s="1">
        <v>2979.4316410000001</v>
      </c>
      <c r="G65" s="1">
        <v>891695</v>
      </c>
      <c r="H65" s="1">
        <v>3315</v>
      </c>
      <c r="I65" s="1">
        <v>3350</v>
      </c>
      <c r="J65" s="1">
        <v>3277</v>
      </c>
      <c r="K65" s="1">
        <v>3332.1999510000001</v>
      </c>
      <c r="L65" s="1">
        <v>3332.1999510000001</v>
      </c>
      <c r="M65" s="1">
        <v>184379</v>
      </c>
      <c r="Z65" s="2">
        <v>44375</v>
      </c>
      <c r="AA65" s="1">
        <f>INDEX($A:$M, MATCH(Z65, $A:$A, 0), MATCH($AA$1, $A$1:$M$1, 0))</f>
        <v>3315</v>
      </c>
      <c r="AB65" s="1">
        <f>INDEX(A:M, MATCH(Z65, A:A, 0), MATCH(AB64, A64:M64, 0))</f>
        <v>3024</v>
      </c>
    </row>
    <row r="66" spans="1:28" x14ac:dyDescent="0.3">
      <c r="A66" s="2">
        <v>44376</v>
      </c>
      <c r="B66" s="1">
        <v>2989</v>
      </c>
      <c r="C66" s="1">
        <v>3023.8500979999999</v>
      </c>
      <c r="D66" s="1">
        <v>2973.0500489999999</v>
      </c>
      <c r="E66" s="1">
        <v>3001.5</v>
      </c>
      <c r="F66" s="1">
        <v>2997.959961</v>
      </c>
      <c r="G66" s="1">
        <v>1242734</v>
      </c>
      <c r="H66" s="1">
        <v>3338</v>
      </c>
      <c r="I66" s="1">
        <v>3349.6999510000001</v>
      </c>
      <c r="J66" s="1">
        <v>3251</v>
      </c>
      <c r="K66" s="1">
        <v>3270.8500979999999</v>
      </c>
      <c r="L66" s="1">
        <v>3270.8500979999999</v>
      </c>
      <c r="M66" s="1">
        <v>310346</v>
      </c>
      <c r="Z66" s="2">
        <v>44376</v>
      </c>
      <c r="AA66" s="1">
        <f>INDEX($A:$M, MATCH(Z66, $A:$A, 0), MATCH($AA$1, $A$1:$M$1, 0))</f>
        <v>3338</v>
      </c>
      <c r="AB66" s="1">
        <f>INDEX(A:M, MATCH(Z66, A:A, 0), MATCH(AB65, A65:M65, 0))</f>
        <v>2989</v>
      </c>
    </row>
    <row r="67" spans="1:28" x14ac:dyDescent="0.3">
      <c r="A67" s="2">
        <v>44377</v>
      </c>
      <c r="B67" s="1">
        <v>2999</v>
      </c>
      <c r="C67" s="1">
        <v>3030</v>
      </c>
      <c r="D67" s="1">
        <v>2985.6499020000001</v>
      </c>
      <c r="E67" s="1">
        <v>2992.6999510000001</v>
      </c>
      <c r="F67" s="1">
        <v>2989.1701659999999</v>
      </c>
      <c r="G67" s="1">
        <v>924522</v>
      </c>
      <c r="H67" s="1">
        <v>3278</v>
      </c>
      <c r="I67" s="1">
        <v>3358</v>
      </c>
      <c r="J67" s="1">
        <v>3278</v>
      </c>
      <c r="K67" s="1">
        <v>3344.1000979999999</v>
      </c>
      <c r="L67" s="1">
        <v>3344.1000979999999</v>
      </c>
      <c r="M67" s="1">
        <v>502700</v>
      </c>
      <c r="Z67" s="2">
        <v>44377</v>
      </c>
      <c r="AA67" s="1">
        <f>INDEX($A:$M, MATCH(Z67, $A:$A, 0), MATCH($AA$1, $A$1:$M$1, 0))</f>
        <v>3278</v>
      </c>
      <c r="AB67" s="1">
        <f>INDEX(A:M, MATCH(Z67, A:A, 0), MATCH(AB66, A66:M66, 0))</f>
        <v>2999</v>
      </c>
    </row>
    <row r="68" spans="1:28" x14ac:dyDescent="0.3">
      <c r="A68" s="2">
        <v>44378</v>
      </c>
      <c r="B68" s="1">
        <v>3008</v>
      </c>
      <c r="C68" s="1">
        <v>3026.8999020000001</v>
      </c>
      <c r="D68" s="1">
        <v>2997</v>
      </c>
      <c r="E68" s="1">
        <v>3021.6000979999999</v>
      </c>
      <c r="F68" s="1">
        <v>3018.0361330000001</v>
      </c>
      <c r="G68" s="1">
        <v>848235</v>
      </c>
      <c r="H68" s="1">
        <v>3373.6999510000001</v>
      </c>
      <c r="I68" s="1">
        <v>3373.6999510000001</v>
      </c>
      <c r="J68" s="1">
        <v>3305</v>
      </c>
      <c r="K68" s="1">
        <v>3315.6499020000001</v>
      </c>
      <c r="L68" s="1">
        <v>3315.6499020000001</v>
      </c>
      <c r="M68" s="1">
        <v>155967</v>
      </c>
      <c r="Z68" s="2">
        <v>44378</v>
      </c>
      <c r="AA68" s="1">
        <f>INDEX($A:$M, MATCH(Z68, $A:$A, 0), MATCH($AA$1, $A$1:$M$1, 0))</f>
        <v>3373.6999510000001</v>
      </c>
      <c r="AB68" s="1">
        <f>INDEX(A:M, MATCH(Z68, A:A, 0), MATCH(AB67, A67:M67, 0))</f>
        <v>3008</v>
      </c>
    </row>
    <row r="69" spans="1:28" x14ac:dyDescent="0.3">
      <c r="A69" s="2">
        <v>44379</v>
      </c>
      <c r="B69" s="1">
        <v>3032.9499510000001</v>
      </c>
      <c r="C69" s="1">
        <v>3038.8000489999999</v>
      </c>
      <c r="D69" s="1">
        <v>2999.75</v>
      </c>
      <c r="E69" s="1">
        <v>3005</v>
      </c>
      <c r="F69" s="1">
        <v>3001.4558109999998</v>
      </c>
      <c r="G69" s="1">
        <v>805542</v>
      </c>
      <c r="H69" s="1">
        <v>3340</v>
      </c>
      <c r="I69" s="1">
        <v>3342.75</v>
      </c>
      <c r="J69" s="1">
        <v>3305</v>
      </c>
      <c r="K69" s="1">
        <v>3314.3000489999999</v>
      </c>
      <c r="L69" s="1">
        <v>3314.3000489999999</v>
      </c>
      <c r="M69" s="1">
        <v>262656</v>
      </c>
      <c r="Z69" s="2">
        <v>44379</v>
      </c>
      <c r="AA69" s="1">
        <f>INDEX($A:$M, MATCH(Z69, $A:$A, 0), MATCH($AA$1, $A$1:$M$1, 0))</f>
        <v>3340</v>
      </c>
      <c r="AB69" s="1">
        <f>INDEX(A:M, MATCH(Z69, A:A, 0), MATCH(AB68, A68:M68, 0))</f>
        <v>3032.9499510000001</v>
      </c>
    </row>
    <row r="70" spans="1:28" x14ac:dyDescent="0.3">
      <c r="A70" s="2">
        <v>44382</v>
      </c>
      <c r="B70" s="1">
        <v>3020</v>
      </c>
      <c r="C70" s="1">
        <v>3050</v>
      </c>
      <c r="D70" s="1">
        <v>3007.1000979999999</v>
      </c>
      <c r="E70" s="1">
        <v>3014.8000489999999</v>
      </c>
      <c r="F70" s="1">
        <v>3011.2441410000001</v>
      </c>
      <c r="G70" s="1">
        <v>863343</v>
      </c>
      <c r="H70" s="1">
        <v>3375</v>
      </c>
      <c r="I70" s="1">
        <v>3395</v>
      </c>
      <c r="J70" s="1">
        <v>3341.3000489999999</v>
      </c>
      <c r="K70" s="1">
        <v>3360.6499020000001</v>
      </c>
      <c r="L70" s="1">
        <v>3360.6499020000001</v>
      </c>
      <c r="M70" s="1">
        <v>379870</v>
      </c>
      <c r="Z70" s="2">
        <v>44382</v>
      </c>
      <c r="AA70" s="1">
        <f>INDEX($A:$M, MATCH(Z70, $A:$A, 0), MATCH($AA$1, $A$1:$M$1, 0))</f>
        <v>3375</v>
      </c>
      <c r="AB70" s="1">
        <f>INDEX(A:M, MATCH(Z70, A:A, 0), MATCH(AB69, A69:M69, 0))</f>
        <v>3020</v>
      </c>
    </row>
    <row r="71" spans="1:28" x14ac:dyDescent="0.3">
      <c r="A71" s="2">
        <v>44383</v>
      </c>
      <c r="B71" s="1">
        <v>3003</v>
      </c>
      <c r="C71" s="1">
        <v>3029.5</v>
      </c>
      <c r="D71" s="1">
        <v>2996</v>
      </c>
      <c r="E71" s="1">
        <v>3002.5</v>
      </c>
      <c r="F71" s="1">
        <v>2998.95874</v>
      </c>
      <c r="G71" s="1">
        <v>762630</v>
      </c>
      <c r="H71" s="1">
        <v>3366</v>
      </c>
      <c r="I71" s="1">
        <v>3425</v>
      </c>
      <c r="J71" s="1">
        <v>3332</v>
      </c>
      <c r="K71" s="1">
        <v>3364.6000979999999</v>
      </c>
      <c r="L71" s="1">
        <v>3364.6000979999999</v>
      </c>
      <c r="M71" s="1">
        <v>336459</v>
      </c>
      <c r="Z71" s="2">
        <v>44383</v>
      </c>
      <c r="AA71" s="1">
        <f>INDEX($A:$M, MATCH(Z71, $A:$A, 0), MATCH($AA$1, $A$1:$M$1, 0))</f>
        <v>3366</v>
      </c>
      <c r="AB71" s="1">
        <f>INDEX(A:M, MATCH(Z71, A:A, 0), MATCH(AB70, A70:M70, 0))</f>
        <v>3003</v>
      </c>
    </row>
    <row r="72" spans="1:28" x14ac:dyDescent="0.3">
      <c r="A72" s="2">
        <v>44384</v>
      </c>
      <c r="B72" s="1">
        <v>3065</v>
      </c>
      <c r="C72" s="1">
        <v>3069</v>
      </c>
      <c r="D72" s="1">
        <v>3011.25</v>
      </c>
      <c r="E72" s="1">
        <v>3040.1000979999999</v>
      </c>
      <c r="F72" s="1">
        <v>3036.514404</v>
      </c>
      <c r="G72" s="1">
        <v>1234865</v>
      </c>
      <c r="H72" s="1">
        <v>3366</v>
      </c>
      <c r="I72" s="1">
        <v>3402</v>
      </c>
      <c r="J72" s="1">
        <v>3326</v>
      </c>
      <c r="K72" s="1">
        <v>3396.3999020000001</v>
      </c>
      <c r="L72" s="1">
        <v>3396.3999020000001</v>
      </c>
      <c r="M72" s="1">
        <v>276021</v>
      </c>
      <c r="Z72" s="2">
        <v>44384</v>
      </c>
      <c r="AA72" s="1">
        <f>INDEX($A:$M, MATCH(Z72, $A:$A, 0), MATCH($AA$1, $A$1:$M$1, 0))</f>
        <v>3366</v>
      </c>
      <c r="AB72" s="1">
        <f>INDEX(A:M, MATCH(Z72, A:A, 0), MATCH(AB71, A71:M71, 0))</f>
        <v>3065</v>
      </c>
    </row>
    <row r="73" spans="1:28" x14ac:dyDescent="0.3">
      <c r="A73" s="2">
        <v>44385</v>
      </c>
      <c r="B73" s="1">
        <v>3050</v>
      </c>
      <c r="C73" s="1">
        <v>3059</v>
      </c>
      <c r="D73" s="1">
        <v>3018.8000489999999</v>
      </c>
      <c r="E73" s="1">
        <v>3028.3000489999999</v>
      </c>
      <c r="F73" s="1">
        <v>3024.7282709999999</v>
      </c>
      <c r="G73" s="1">
        <v>907391</v>
      </c>
      <c r="H73" s="1">
        <v>3400</v>
      </c>
      <c r="I73" s="1">
        <v>3420</v>
      </c>
      <c r="J73" s="1">
        <v>3368</v>
      </c>
      <c r="K73" s="1">
        <v>3389.1999510000001</v>
      </c>
      <c r="L73" s="1">
        <v>3389.1999510000001</v>
      </c>
      <c r="M73" s="1">
        <v>184898</v>
      </c>
      <c r="Z73" s="2">
        <v>44385</v>
      </c>
      <c r="AA73" s="1">
        <f>INDEX($A:$M, MATCH(Z73, $A:$A, 0), MATCH($AA$1, $A$1:$M$1, 0))</f>
        <v>3400</v>
      </c>
      <c r="AB73" s="1">
        <f>INDEX(A:M, MATCH(Z73, A:A, 0), MATCH(AB72, A72:M72, 0))</f>
        <v>3050</v>
      </c>
    </row>
    <row r="74" spans="1:28" x14ac:dyDescent="0.3">
      <c r="A74" s="2">
        <v>44386</v>
      </c>
      <c r="B74" s="1">
        <v>3022</v>
      </c>
      <c r="C74" s="1">
        <v>3039.1499020000001</v>
      </c>
      <c r="D74" s="1">
        <v>3007</v>
      </c>
      <c r="E74" s="1">
        <v>3010.6000979999999</v>
      </c>
      <c r="F74" s="1">
        <v>3007.0493160000001</v>
      </c>
      <c r="G74" s="1">
        <v>547082</v>
      </c>
      <c r="H74" s="1">
        <v>3390</v>
      </c>
      <c r="I74" s="1">
        <v>3398</v>
      </c>
      <c r="J74" s="1">
        <v>3361.1000979999999</v>
      </c>
      <c r="K74" s="1">
        <v>3377.6000979999999</v>
      </c>
      <c r="L74" s="1">
        <v>3377.6000979999999</v>
      </c>
      <c r="M74" s="1">
        <v>146424</v>
      </c>
      <c r="Z74" s="2">
        <v>44386</v>
      </c>
      <c r="AA74" s="1">
        <f>INDEX($A:$M, MATCH(Z74, $A:$A, 0), MATCH($AA$1, $A$1:$M$1, 0))</f>
        <v>3390</v>
      </c>
      <c r="AB74" s="1">
        <f>INDEX(A:M, MATCH(Z74, A:A, 0), MATCH(AB73, A73:M73, 0))</f>
        <v>3022</v>
      </c>
    </row>
    <row r="75" spans="1:28" x14ac:dyDescent="0.3">
      <c r="A75" s="2">
        <v>44389</v>
      </c>
      <c r="B75" s="1">
        <v>3034.8999020000001</v>
      </c>
      <c r="C75" s="1">
        <v>3042.8500979999999</v>
      </c>
      <c r="D75" s="1">
        <v>2991.0500489999999</v>
      </c>
      <c r="E75" s="1">
        <v>2999.3999020000001</v>
      </c>
      <c r="F75" s="1">
        <v>2995.8623050000001</v>
      </c>
      <c r="G75" s="1">
        <v>765566</v>
      </c>
      <c r="H75" s="1">
        <v>3369.6000979999999</v>
      </c>
      <c r="I75" s="1">
        <v>3378</v>
      </c>
      <c r="J75" s="1">
        <v>3310.1999510000001</v>
      </c>
      <c r="K75" s="1">
        <v>3349.0500489999999</v>
      </c>
      <c r="L75" s="1">
        <v>3349.0500489999999</v>
      </c>
      <c r="M75" s="1">
        <v>639197</v>
      </c>
      <c r="Z75" s="2">
        <v>44389</v>
      </c>
      <c r="AA75" s="1">
        <f>INDEX($A:$M, MATCH(Z75, $A:$A, 0), MATCH($AA$1, $A$1:$M$1, 0))</f>
        <v>3369.6000979999999</v>
      </c>
      <c r="AB75" s="1">
        <f>INDEX(A:M, MATCH(Z75, A:A, 0), MATCH(AB74, A74:M74, 0))</f>
        <v>3034.8999020000001</v>
      </c>
    </row>
    <row r="76" spans="1:28" x14ac:dyDescent="0.3">
      <c r="A76" s="2">
        <v>44390</v>
      </c>
      <c r="B76" s="1">
        <v>3020</v>
      </c>
      <c r="C76" s="1">
        <v>3021.1000979999999</v>
      </c>
      <c r="D76" s="1">
        <v>2985.3500979999999</v>
      </c>
      <c r="E76" s="1">
        <v>2993.8500979999999</v>
      </c>
      <c r="F76" s="1">
        <v>2990.3190920000002</v>
      </c>
      <c r="G76" s="1">
        <v>703484</v>
      </c>
      <c r="H76" s="1">
        <v>3330</v>
      </c>
      <c r="I76" s="1">
        <v>3370</v>
      </c>
      <c r="J76" s="1">
        <v>3307.5500489999999</v>
      </c>
      <c r="K76" s="1">
        <v>3355</v>
      </c>
      <c r="L76" s="1">
        <v>3355</v>
      </c>
      <c r="M76" s="1">
        <v>264068</v>
      </c>
      <c r="Z76" s="2">
        <v>44390</v>
      </c>
      <c r="AA76" s="1">
        <f>INDEX($A:$M, MATCH(Z76, $A:$A, 0), MATCH($AA$1, $A$1:$M$1, 0))</f>
        <v>3330</v>
      </c>
      <c r="AB76" s="1">
        <f>INDEX(A:M, MATCH(Z76, A:A, 0), MATCH(AB75, A75:M75, 0))</f>
        <v>3020</v>
      </c>
    </row>
    <row r="77" spans="1:28" x14ac:dyDescent="0.3">
      <c r="A77" s="2">
        <v>44391</v>
      </c>
      <c r="B77" s="1">
        <v>3003</v>
      </c>
      <c r="C77" s="1">
        <v>3007.75</v>
      </c>
      <c r="D77" s="1">
        <v>2984.1999510000001</v>
      </c>
      <c r="E77" s="1">
        <v>3001.9499510000001</v>
      </c>
      <c r="F77" s="1">
        <v>2998.4091800000001</v>
      </c>
      <c r="G77" s="1">
        <v>470744</v>
      </c>
      <c r="H77" s="1">
        <v>3349.9499510000001</v>
      </c>
      <c r="I77" s="1">
        <v>3350.1000979999999</v>
      </c>
      <c r="J77" s="1">
        <v>3319</v>
      </c>
      <c r="K77" s="1">
        <v>3330.0500489999999</v>
      </c>
      <c r="L77" s="1">
        <v>3330.0500489999999</v>
      </c>
      <c r="M77" s="1">
        <v>253367</v>
      </c>
      <c r="Z77" s="2">
        <v>44391</v>
      </c>
      <c r="AA77" s="1">
        <f>INDEX($A:$M, MATCH(Z77, $A:$A, 0), MATCH($AA$1, $A$1:$M$1, 0))</f>
        <v>3349.9499510000001</v>
      </c>
      <c r="AB77" s="1">
        <f>INDEX(A:M, MATCH(Z77, A:A, 0), MATCH(AB76, A76:M76, 0))</f>
        <v>3003</v>
      </c>
    </row>
    <row r="78" spans="1:28" x14ac:dyDescent="0.3">
      <c r="A78" s="2">
        <v>44392</v>
      </c>
      <c r="B78" s="1">
        <v>3010</v>
      </c>
      <c r="C78" s="1">
        <v>3011</v>
      </c>
      <c r="D78" s="1">
        <v>2971.1000979999999</v>
      </c>
      <c r="E78" s="1">
        <v>2983.6000979999999</v>
      </c>
      <c r="F78" s="1">
        <v>2980.0810550000001</v>
      </c>
      <c r="G78" s="1">
        <v>635535</v>
      </c>
      <c r="H78" s="1">
        <v>3319</v>
      </c>
      <c r="I78" s="1">
        <v>3363</v>
      </c>
      <c r="J78" s="1">
        <v>3300</v>
      </c>
      <c r="K78" s="1">
        <v>3328.5</v>
      </c>
      <c r="L78" s="1">
        <v>3328.5</v>
      </c>
      <c r="M78" s="1">
        <v>188080</v>
      </c>
      <c r="Z78" s="2">
        <v>44392</v>
      </c>
      <c r="AA78" s="1">
        <f>INDEX($A:$M, MATCH(Z78, $A:$A, 0), MATCH($AA$1, $A$1:$M$1, 0))</f>
        <v>3319</v>
      </c>
      <c r="AB78" s="1">
        <f>INDEX(A:M, MATCH(Z78, A:A, 0), MATCH(AB77, A77:M77, 0))</f>
        <v>3010</v>
      </c>
    </row>
    <row r="79" spans="1:28" x14ac:dyDescent="0.3">
      <c r="A79" s="2">
        <v>44393</v>
      </c>
      <c r="B79" s="1">
        <v>2994</v>
      </c>
      <c r="C79" s="1">
        <v>3006</v>
      </c>
      <c r="D79" s="1">
        <v>2965</v>
      </c>
      <c r="E79" s="1">
        <v>2989.3000489999999</v>
      </c>
      <c r="F79" s="1">
        <v>2985.774414</v>
      </c>
      <c r="G79" s="1">
        <v>1062548</v>
      </c>
      <c r="H79" s="1">
        <v>3332.9499510000001</v>
      </c>
      <c r="I79" s="1">
        <v>3365</v>
      </c>
      <c r="J79" s="1">
        <v>3327</v>
      </c>
      <c r="K79" s="1">
        <v>3349.1999510000001</v>
      </c>
      <c r="L79" s="1">
        <v>3349.1999510000001</v>
      </c>
      <c r="M79" s="1">
        <v>316985</v>
      </c>
      <c r="Z79" s="2">
        <v>44393</v>
      </c>
      <c r="AA79" s="1">
        <f>INDEX($A:$M, MATCH(Z79, $A:$A, 0), MATCH($AA$1, $A$1:$M$1, 0))</f>
        <v>3332.9499510000001</v>
      </c>
      <c r="AB79" s="1">
        <f>INDEX(A:M, MATCH(Z79, A:A, 0), MATCH(AB78, A78:M78, 0))</f>
        <v>2994</v>
      </c>
    </row>
    <row r="80" spans="1:28" x14ac:dyDescent="0.3">
      <c r="A80" s="2">
        <v>44396</v>
      </c>
      <c r="B80" s="1">
        <v>2989.3000489999999</v>
      </c>
      <c r="C80" s="1">
        <v>2999.6999510000001</v>
      </c>
      <c r="D80" s="1">
        <v>2965</v>
      </c>
      <c r="E80" s="1">
        <v>2981.9499510000001</v>
      </c>
      <c r="F80" s="1">
        <v>2978.4328609999998</v>
      </c>
      <c r="G80" s="1">
        <v>837836</v>
      </c>
      <c r="H80" s="1">
        <v>3320</v>
      </c>
      <c r="I80" s="1">
        <v>3348.8999020000001</v>
      </c>
      <c r="J80" s="1">
        <v>3315.1499020000001</v>
      </c>
      <c r="K80" s="1">
        <v>3331.6000979999999</v>
      </c>
      <c r="L80" s="1">
        <v>3331.6000979999999</v>
      </c>
      <c r="M80" s="1">
        <v>143633</v>
      </c>
      <c r="Z80" s="2">
        <v>44396</v>
      </c>
      <c r="AA80" s="1">
        <f>INDEX($A:$M, MATCH(Z80, $A:$A, 0), MATCH($AA$1, $A$1:$M$1, 0))</f>
        <v>3320</v>
      </c>
      <c r="AB80" s="1">
        <f>INDEX(A:M, MATCH(Z80, A:A, 0), MATCH(AB79, A79:M79, 0))</f>
        <v>2989.3000489999999</v>
      </c>
    </row>
    <row r="81" spans="1:28" x14ac:dyDescent="0.3">
      <c r="A81" s="2">
        <v>44397</v>
      </c>
      <c r="B81" s="1">
        <v>2996</v>
      </c>
      <c r="C81" s="1">
        <v>3179.5</v>
      </c>
      <c r="D81" s="1">
        <v>2979.5500489999999</v>
      </c>
      <c r="E81" s="1">
        <v>3159.0500489999999</v>
      </c>
      <c r="F81" s="1">
        <v>3155.3239749999998</v>
      </c>
      <c r="G81" s="1">
        <v>6755922</v>
      </c>
      <c r="H81" s="1">
        <v>3347</v>
      </c>
      <c r="I81" s="1">
        <v>3419</v>
      </c>
      <c r="J81" s="1">
        <v>3334</v>
      </c>
      <c r="K81" s="1">
        <v>3397.3000489999999</v>
      </c>
      <c r="L81" s="1">
        <v>3397.3000489999999</v>
      </c>
      <c r="M81" s="1">
        <v>553490</v>
      </c>
      <c r="Z81" s="2">
        <v>44397</v>
      </c>
      <c r="AA81" s="1">
        <f>INDEX($A:$M, MATCH(Z81, $A:$A, 0), MATCH($AA$1, $A$1:$M$1, 0))</f>
        <v>3347</v>
      </c>
      <c r="AB81" s="1">
        <f>INDEX(A:M, MATCH(Z81, A:A, 0), MATCH(AB80, A80:M80, 0))</f>
        <v>2996</v>
      </c>
    </row>
    <row r="82" spans="1:28" x14ac:dyDescent="0.3">
      <c r="A82" s="2">
        <v>44399</v>
      </c>
      <c r="B82" s="1">
        <v>3130</v>
      </c>
      <c r="C82" s="1">
        <v>3165</v>
      </c>
      <c r="D82" s="1">
        <v>3090</v>
      </c>
      <c r="E82" s="1">
        <v>3106.75</v>
      </c>
      <c r="F82" s="1">
        <v>3103.085693</v>
      </c>
      <c r="G82" s="1">
        <v>1982572</v>
      </c>
      <c r="H82" s="1">
        <v>3434</v>
      </c>
      <c r="I82" s="1">
        <v>3449</v>
      </c>
      <c r="J82" s="1">
        <v>3383</v>
      </c>
      <c r="K82" s="1">
        <v>3397.3500979999999</v>
      </c>
      <c r="L82" s="1">
        <v>3397.3500979999999</v>
      </c>
      <c r="M82" s="1">
        <v>216224</v>
      </c>
      <c r="Z82" s="2">
        <v>44399</v>
      </c>
      <c r="AA82" s="1">
        <f>INDEX($A:$M, MATCH(Z82, $A:$A, 0), MATCH($AA$1, $A$1:$M$1, 0))</f>
        <v>3434</v>
      </c>
      <c r="AB82" s="1">
        <f>INDEX(A:M, MATCH(Z82, A:A, 0), MATCH(AB81, A81:M81, 0))</f>
        <v>3130</v>
      </c>
    </row>
    <row r="83" spans="1:28" x14ac:dyDescent="0.3">
      <c r="A83" s="2">
        <v>44400</v>
      </c>
      <c r="B83" s="1">
        <v>3106</v>
      </c>
      <c r="C83" s="1">
        <v>3129.6000979999999</v>
      </c>
      <c r="D83" s="1">
        <v>3078.0500489999999</v>
      </c>
      <c r="E83" s="1">
        <v>3083.75</v>
      </c>
      <c r="F83" s="1">
        <v>3080.1127929999998</v>
      </c>
      <c r="G83" s="1">
        <v>815329</v>
      </c>
      <c r="H83" s="1">
        <v>3417.8500979999999</v>
      </c>
      <c r="I83" s="1">
        <v>3425</v>
      </c>
      <c r="J83" s="1">
        <v>3393.0500489999999</v>
      </c>
      <c r="K83" s="1">
        <v>3413.1999510000001</v>
      </c>
      <c r="L83" s="1">
        <v>3413.1999510000001</v>
      </c>
      <c r="M83" s="1">
        <v>155192</v>
      </c>
      <c r="Z83" s="2">
        <v>44400</v>
      </c>
      <c r="AA83" s="1">
        <f>INDEX($A:$M, MATCH(Z83, $A:$A, 0), MATCH($AA$1, $A$1:$M$1, 0))</f>
        <v>3417.8500979999999</v>
      </c>
      <c r="AB83" s="1">
        <f>INDEX(A:M, MATCH(Z83, A:A, 0), MATCH(AB82, A82:M82, 0))</f>
        <v>3106</v>
      </c>
    </row>
    <row r="84" spans="1:28" x14ac:dyDescent="0.3">
      <c r="A84" s="2">
        <v>44403</v>
      </c>
      <c r="B84" s="1">
        <v>3079.9499510000001</v>
      </c>
      <c r="C84" s="1">
        <v>3119</v>
      </c>
      <c r="D84" s="1">
        <v>3051.1999510000001</v>
      </c>
      <c r="E84" s="1">
        <v>3061.1999510000001</v>
      </c>
      <c r="F84" s="1">
        <v>3057.5893550000001</v>
      </c>
      <c r="G84" s="1">
        <v>1136884</v>
      </c>
      <c r="H84" s="1">
        <v>3410</v>
      </c>
      <c r="I84" s="1">
        <v>3499.5</v>
      </c>
      <c r="J84" s="1">
        <v>3398.3000489999999</v>
      </c>
      <c r="K84" s="1">
        <v>3483.5500489999999</v>
      </c>
      <c r="L84" s="1">
        <v>3483.5500489999999</v>
      </c>
      <c r="M84" s="1">
        <v>319728</v>
      </c>
      <c r="Z84" s="2">
        <v>44403</v>
      </c>
      <c r="AA84" s="1">
        <f>INDEX($A:$M, MATCH(Z84, $A:$A, 0), MATCH($AA$1, $A$1:$M$1, 0))</f>
        <v>3410</v>
      </c>
      <c r="AB84" s="1">
        <f>INDEX(A:M, MATCH(Z84, A:A, 0), MATCH(AB83, A83:M83, 0))</f>
        <v>3079.9499510000001</v>
      </c>
    </row>
    <row r="85" spans="1:28" x14ac:dyDescent="0.3">
      <c r="A85" s="2">
        <v>44404</v>
      </c>
      <c r="B85" s="1">
        <v>3079.3999020000001</v>
      </c>
      <c r="C85" s="1">
        <v>3081.5</v>
      </c>
      <c r="D85" s="1">
        <v>3021.3000489999999</v>
      </c>
      <c r="E85" s="1">
        <v>3028.6499020000001</v>
      </c>
      <c r="F85" s="1">
        <v>3025.0776369999999</v>
      </c>
      <c r="G85" s="1">
        <v>904289</v>
      </c>
      <c r="H85" s="1">
        <v>3499</v>
      </c>
      <c r="I85" s="1">
        <v>3533.3999020000001</v>
      </c>
      <c r="J85" s="1">
        <v>3465.25</v>
      </c>
      <c r="K85" s="1">
        <v>3499.3999020000001</v>
      </c>
      <c r="L85" s="1">
        <v>3499.3999020000001</v>
      </c>
      <c r="M85" s="1">
        <v>286345</v>
      </c>
      <c r="Z85" s="2">
        <v>44404</v>
      </c>
      <c r="AA85" s="1">
        <f>INDEX($A:$M, MATCH(Z85, $A:$A, 0), MATCH($AA$1, $A$1:$M$1, 0))</f>
        <v>3499</v>
      </c>
      <c r="AB85" s="1">
        <f>INDEX(A:M, MATCH(Z85, A:A, 0), MATCH(AB84, A84:M84, 0))</f>
        <v>3079.3999020000001</v>
      </c>
    </row>
    <row r="86" spans="1:28" x14ac:dyDescent="0.3">
      <c r="A86" s="2">
        <v>44405</v>
      </c>
      <c r="B86" s="1">
        <v>3030.3500979999999</v>
      </c>
      <c r="C86" s="1">
        <v>3033</v>
      </c>
      <c r="D86" s="1">
        <v>2984</v>
      </c>
      <c r="E86" s="1">
        <v>3004.1000979999999</v>
      </c>
      <c r="F86" s="1">
        <v>3000.556885</v>
      </c>
      <c r="G86" s="1">
        <v>996594</v>
      </c>
      <c r="H86" s="1">
        <v>3499</v>
      </c>
      <c r="I86" s="1">
        <v>3518.1999510000001</v>
      </c>
      <c r="J86" s="1">
        <v>3441.1000979999999</v>
      </c>
      <c r="K86" s="1">
        <v>3488.5</v>
      </c>
      <c r="L86" s="1">
        <v>3488.5</v>
      </c>
      <c r="M86" s="1">
        <v>172832</v>
      </c>
      <c r="Z86" s="2">
        <v>44405</v>
      </c>
      <c r="AA86" s="1">
        <f>INDEX($A:$M, MATCH(Z86, $A:$A, 0), MATCH($AA$1, $A$1:$M$1, 0))</f>
        <v>3499</v>
      </c>
      <c r="AB86" s="1">
        <f>INDEX(A:M, MATCH(Z86, A:A, 0), MATCH(AB85, A85:M85, 0))</f>
        <v>3030.3500979999999</v>
      </c>
    </row>
    <row r="87" spans="1:28" x14ac:dyDescent="0.3">
      <c r="A87" s="2">
        <v>44406</v>
      </c>
      <c r="B87" s="1">
        <v>3004.1000979999999</v>
      </c>
      <c r="C87" s="1">
        <v>3039.9499510000001</v>
      </c>
      <c r="D87" s="1">
        <v>2990.3000489999999</v>
      </c>
      <c r="E87" s="1">
        <v>2997.4499510000001</v>
      </c>
      <c r="F87" s="1">
        <v>2993.9145509999998</v>
      </c>
      <c r="G87" s="1">
        <v>762683</v>
      </c>
      <c r="H87" s="1">
        <v>3500</v>
      </c>
      <c r="I87" s="1">
        <v>3524</v>
      </c>
      <c r="J87" s="1">
        <v>3492.25</v>
      </c>
      <c r="K87" s="1">
        <v>3502.6000979999999</v>
      </c>
      <c r="L87" s="1">
        <v>3502.6000979999999</v>
      </c>
      <c r="M87" s="1">
        <v>131747</v>
      </c>
      <c r="Z87" s="2">
        <v>44406</v>
      </c>
      <c r="AA87" s="1">
        <f>INDEX($A:$M, MATCH(Z87, $A:$A, 0), MATCH($AA$1, $A$1:$M$1, 0))</f>
        <v>3500</v>
      </c>
      <c r="AB87" s="1">
        <f>INDEX(A:M, MATCH(Z87, A:A, 0), MATCH(AB86, A86:M86, 0))</f>
        <v>3004.1000979999999</v>
      </c>
    </row>
    <row r="88" spans="1:28" x14ac:dyDescent="0.3">
      <c r="A88" s="2">
        <v>44407</v>
      </c>
      <c r="B88" s="1">
        <v>3008</v>
      </c>
      <c r="C88" s="1">
        <v>3008.6499020000001</v>
      </c>
      <c r="D88" s="1">
        <v>2951.8999020000001</v>
      </c>
      <c r="E88" s="1">
        <v>2958.4499510000001</v>
      </c>
      <c r="F88" s="1">
        <v>2954.960693</v>
      </c>
      <c r="G88" s="1">
        <v>1067423</v>
      </c>
      <c r="H88" s="1">
        <v>3524</v>
      </c>
      <c r="I88" s="1">
        <v>3524</v>
      </c>
      <c r="J88" s="1">
        <v>3475.25</v>
      </c>
      <c r="K88" s="1">
        <v>3500.8000489999999</v>
      </c>
      <c r="L88" s="1">
        <v>3500.8000489999999</v>
      </c>
      <c r="M88" s="1">
        <v>270545</v>
      </c>
      <c r="Z88" s="2">
        <v>44407</v>
      </c>
      <c r="AA88" s="1">
        <f>INDEX($A:$M, MATCH(Z88, $A:$A, 0), MATCH($AA$1, $A$1:$M$1, 0))</f>
        <v>3524</v>
      </c>
      <c r="AB88" s="1">
        <f>INDEX(A:M, MATCH(Z88, A:A, 0), MATCH(AB87, A87:M87, 0))</f>
        <v>3008</v>
      </c>
    </row>
    <row r="89" spans="1:28" x14ac:dyDescent="0.3">
      <c r="A89" s="2">
        <v>44410</v>
      </c>
      <c r="B89" s="1">
        <v>2985.6000979999999</v>
      </c>
      <c r="C89" s="1">
        <v>2986.8000489999999</v>
      </c>
      <c r="D89" s="1">
        <v>2960.6499020000001</v>
      </c>
      <c r="E89" s="1">
        <v>2974.0500489999999</v>
      </c>
      <c r="F89" s="1">
        <v>2970.5422359999998</v>
      </c>
      <c r="G89" s="1">
        <v>832285</v>
      </c>
      <c r="H89" s="1">
        <v>3524.8000489999999</v>
      </c>
      <c r="I89" s="1">
        <v>3524.8000489999999</v>
      </c>
      <c r="J89" s="1">
        <v>3486</v>
      </c>
      <c r="K89" s="1">
        <v>3502.3999020000001</v>
      </c>
      <c r="L89" s="1">
        <v>3502.3999020000001</v>
      </c>
      <c r="M89" s="1">
        <v>147600</v>
      </c>
      <c r="Z89" s="2">
        <v>44410</v>
      </c>
      <c r="AA89" s="1">
        <f>INDEX($A:$M, MATCH(Z89, $A:$A, 0), MATCH($AA$1, $A$1:$M$1, 0))</f>
        <v>3524.8000489999999</v>
      </c>
      <c r="AB89" s="1">
        <f>INDEX(A:M, MATCH(Z89, A:A, 0), MATCH(AB88, A88:M88, 0))</f>
        <v>2985.6000979999999</v>
      </c>
    </row>
    <row r="90" spans="1:28" x14ac:dyDescent="0.3">
      <c r="A90" s="2">
        <v>44411</v>
      </c>
      <c r="B90" s="1">
        <v>3020</v>
      </c>
      <c r="C90" s="1">
        <v>3065</v>
      </c>
      <c r="D90" s="1">
        <v>2994.1999510000001</v>
      </c>
      <c r="E90" s="1">
        <v>3027</v>
      </c>
      <c r="F90" s="1">
        <v>3023.4296880000002</v>
      </c>
      <c r="G90" s="1">
        <v>2433031</v>
      </c>
      <c r="H90" s="1">
        <v>3508</v>
      </c>
      <c r="I90" s="1">
        <v>3579</v>
      </c>
      <c r="J90" s="1">
        <v>3504</v>
      </c>
      <c r="K90" s="1">
        <v>3566.25</v>
      </c>
      <c r="L90" s="1">
        <v>3566.25</v>
      </c>
      <c r="M90" s="1">
        <v>224336</v>
      </c>
      <c r="Z90" s="2">
        <v>44411</v>
      </c>
      <c r="AA90" s="1">
        <f>INDEX($A:$M, MATCH(Z90, $A:$A, 0), MATCH($AA$1, $A$1:$M$1, 0))</f>
        <v>3508</v>
      </c>
      <c r="AB90" s="1">
        <f>INDEX(A:M, MATCH(Z90, A:A, 0), MATCH(AB89, A89:M89, 0))</f>
        <v>3020</v>
      </c>
    </row>
    <row r="91" spans="1:28" x14ac:dyDescent="0.3">
      <c r="A91" s="2">
        <v>44412</v>
      </c>
      <c r="B91" s="1">
        <v>3040.6000979999999</v>
      </c>
      <c r="C91" s="1">
        <v>3053.3000489999999</v>
      </c>
      <c r="D91" s="1">
        <v>3012</v>
      </c>
      <c r="E91" s="1">
        <v>3018.6000979999999</v>
      </c>
      <c r="F91" s="1">
        <v>3015.0397950000001</v>
      </c>
      <c r="G91" s="1">
        <v>659295</v>
      </c>
      <c r="H91" s="1">
        <v>3575</v>
      </c>
      <c r="I91" s="1">
        <v>3609</v>
      </c>
      <c r="J91" s="1">
        <v>3535.8500979999999</v>
      </c>
      <c r="K91" s="1">
        <v>3593.0500489999999</v>
      </c>
      <c r="L91" s="1">
        <v>3593.0500489999999</v>
      </c>
      <c r="M91" s="1">
        <v>197380</v>
      </c>
      <c r="Z91" s="2">
        <v>44412</v>
      </c>
      <c r="AA91" s="1">
        <f>INDEX($A:$M, MATCH(Z91, $A:$A, 0), MATCH($AA$1, $A$1:$M$1, 0))</f>
        <v>3575</v>
      </c>
      <c r="AB91" s="1">
        <f>INDEX(A:M, MATCH(Z91, A:A, 0), MATCH(AB90, A90:M90, 0))</f>
        <v>3040.6000979999999</v>
      </c>
    </row>
    <row r="92" spans="1:28" x14ac:dyDescent="0.3">
      <c r="A92" s="2">
        <v>44413</v>
      </c>
      <c r="B92" s="1">
        <v>3034</v>
      </c>
      <c r="C92" s="1">
        <v>3040</v>
      </c>
      <c r="D92" s="1">
        <v>2980.0500489999999</v>
      </c>
      <c r="E92" s="1">
        <v>2988.3999020000001</v>
      </c>
      <c r="F92" s="1">
        <v>2984.8752439999998</v>
      </c>
      <c r="G92" s="1">
        <v>693694</v>
      </c>
      <c r="H92" s="1">
        <v>3600</v>
      </c>
      <c r="I92" s="1">
        <v>3624.4499510000001</v>
      </c>
      <c r="J92" s="1">
        <v>3551</v>
      </c>
      <c r="K92" s="1">
        <v>3564.1499020000001</v>
      </c>
      <c r="L92" s="1">
        <v>3564.1499020000001</v>
      </c>
      <c r="M92" s="1">
        <v>117492</v>
      </c>
      <c r="Z92" s="2">
        <v>44413</v>
      </c>
      <c r="AA92" s="1">
        <f>INDEX($A:$M, MATCH(Z92, $A:$A, 0), MATCH($AA$1, $A$1:$M$1, 0))</f>
        <v>3600</v>
      </c>
      <c r="AB92" s="1">
        <f>INDEX(A:M, MATCH(Z92, A:A, 0), MATCH(AB91, A91:M91, 0))</f>
        <v>3034</v>
      </c>
    </row>
    <row r="93" spans="1:28" x14ac:dyDescent="0.3">
      <c r="A93" s="2">
        <v>44414</v>
      </c>
      <c r="B93" s="1">
        <v>2995</v>
      </c>
      <c r="C93" s="1">
        <v>3001</v>
      </c>
      <c r="D93" s="1">
        <v>2961.4499510000001</v>
      </c>
      <c r="E93" s="1">
        <v>2966.4499510000001</v>
      </c>
      <c r="F93" s="1">
        <v>2962.951172</v>
      </c>
      <c r="G93" s="1">
        <v>744159</v>
      </c>
      <c r="H93" s="1">
        <v>3569</v>
      </c>
      <c r="I93" s="1">
        <v>3593</v>
      </c>
      <c r="J93" s="1">
        <v>3520</v>
      </c>
      <c r="K93" s="1">
        <v>3529.1999510000001</v>
      </c>
      <c r="L93" s="1">
        <v>3529.1999510000001</v>
      </c>
      <c r="M93" s="1">
        <v>128769</v>
      </c>
      <c r="Z93" s="2">
        <v>44414</v>
      </c>
      <c r="AA93" s="1">
        <f>INDEX($A:$M, MATCH(Z93, $A:$A, 0), MATCH($AA$1, $A$1:$M$1, 0))</f>
        <v>3569</v>
      </c>
      <c r="AB93" s="1">
        <f>INDEX(A:M, MATCH(Z93, A:A, 0), MATCH(AB92, A92:M92, 0))</f>
        <v>2995</v>
      </c>
    </row>
    <row r="94" spans="1:28" x14ac:dyDescent="0.3">
      <c r="A94" s="2">
        <v>44417</v>
      </c>
      <c r="B94" s="1">
        <v>2994.6499020000001</v>
      </c>
      <c r="C94" s="1">
        <v>3015</v>
      </c>
      <c r="D94" s="1">
        <v>2973.0500489999999</v>
      </c>
      <c r="E94" s="1">
        <v>2992.5500489999999</v>
      </c>
      <c r="F94" s="1">
        <v>2989.0205080000001</v>
      </c>
      <c r="G94" s="1">
        <v>825462</v>
      </c>
      <c r="H94" s="1">
        <v>3549</v>
      </c>
      <c r="I94" s="1">
        <v>3577.6499020000001</v>
      </c>
      <c r="J94" s="1">
        <v>3501</v>
      </c>
      <c r="K94" s="1">
        <v>3523</v>
      </c>
      <c r="L94" s="1">
        <v>3523</v>
      </c>
      <c r="M94" s="1">
        <v>254763</v>
      </c>
      <c r="Z94" s="2">
        <v>44417</v>
      </c>
      <c r="AA94" s="1">
        <f>INDEX($A:$M, MATCH(Z94, $A:$A, 0), MATCH($AA$1, $A$1:$M$1, 0))</f>
        <v>3549</v>
      </c>
      <c r="AB94" s="1">
        <f>INDEX(A:M, MATCH(Z94, A:A, 0), MATCH(AB93, A93:M93, 0))</f>
        <v>2994.6499020000001</v>
      </c>
    </row>
    <row r="95" spans="1:28" x14ac:dyDescent="0.3">
      <c r="A95" s="2">
        <v>44418</v>
      </c>
      <c r="B95" s="1">
        <v>2998</v>
      </c>
      <c r="C95" s="1">
        <v>3008.3000489999999</v>
      </c>
      <c r="D95" s="1">
        <v>2960.5500489999999</v>
      </c>
      <c r="E95" s="1">
        <v>2977.1499020000001</v>
      </c>
      <c r="F95" s="1">
        <v>2973.6384280000002</v>
      </c>
      <c r="G95" s="1">
        <v>724335</v>
      </c>
      <c r="H95" s="1">
        <v>3541</v>
      </c>
      <c r="I95" s="1">
        <v>3586.5500489999999</v>
      </c>
      <c r="J95" s="1">
        <v>3515</v>
      </c>
      <c r="K95" s="1">
        <v>3551.6499020000001</v>
      </c>
      <c r="L95" s="1">
        <v>3551.6499020000001</v>
      </c>
      <c r="M95" s="1">
        <v>162584</v>
      </c>
      <c r="Z95" s="2">
        <v>44418</v>
      </c>
      <c r="AA95" s="1">
        <f>INDEX($A:$M, MATCH(Z95, $A:$A, 0), MATCH($AA$1, $A$1:$M$1, 0))</f>
        <v>3541</v>
      </c>
      <c r="AB95" s="1">
        <f>INDEX(A:M, MATCH(Z95, A:A, 0), MATCH(AB94, A94:M94, 0))</f>
        <v>2998</v>
      </c>
    </row>
    <row r="96" spans="1:28" x14ac:dyDescent="0.3">
      <c r="A96" s="2">
        <v>44419</v>
      </c>
      <c r="B96" s="1">
        <v>2987.3999020000001</v>
      </c>
      <c r="C96" s="1">
        <v>3001.4499510000001</v>
      </c>
      <c r="D96" s="1">
        <v>2952.5500489999999</v>
      </c>
      <c r="E96" s="1">
        <v>2972.6000979999999</v>
      </c>
      <c r="F96" s="1">
        <v>2969.0939939999998</v>
      </c>
      <c r="G96" s="1">
        <v>987941</v>
      </c>
      <c r="H96" s="1">
        <v>3551.6499020000001</v>
      </c>
      <c r="I96" s="1">
        <v>3575</v>
      </c>
      <c r="J96" s="1">
        <v>3465</v>
      </c>
      <c r="K96" s="1">
        <v>3563.9499510000001</v>
      </c>
      <c r="L96" s="1">
        <v>3563.9499510000001</v>
      </c>
      <c r="M96" s="1">
        <v>167988</v>
      </c>
      <c r="Z96" s="2">
        <v>44419</v>
      </c>
      <c r="AA96" s="1">
        <f>INDEX($A:$M, MATCH(Z96, $A:$A, 0), MATCH($AA$1, $A$1:$M$1, 0))</f>
        <v>3551.6499020000001</v>
      </c>
      <c r="AB96" s="1">
        <f>INDEX(A:M, MATCH(Z96, A:A, 0), MATCH(AB95, A95:M95, 0))</f>
        <v>2987.3999020000001</v>
      </c>
    </row>
    <row r="97" spans="1:28" x14ac:dyDescent="0.3">
      <c r="A97" s="2">
        <v>44420</v>
      </c>
      <c r="B97" s="1">
        <v>2974</v>
      </c>
      <c r="C97" s="1">
        <v>2985.25</v>
      </c>
      <c r="D97" s="1">
        <v>2958</v>
      </c>
      <c r="E97" s="1">
        <v>2975.5</v>
      </c>
      <c r="F97" s="1">
        <v>2971.9904790000001</v>
      </c>
      <c r="G97" s="1">
        <v>438552</v>
      </c>
      <c r="H97" s="1">
        <v>3573.8000489999999</v>
      </c>
      <c r="I97" s="1">
        <v>3589</v>
      </c>
      <c r="J97" s="1">
        <v>3546.6000979999999</v>
      </c>
      <c r="K97" s="1">
        <v>3561</v>
      </c>
      <c r="L97" s="1">
        <v>3561</v>
      </c>
      <c r="M97" s="1">
        <v>114737</v>
      </c>
      <c r="Z97" s="2">
        <v>44420</v>
      </c>
      <c r="AA97" s="1">
        <f>INDEX($A:$M, MATCH(Z97, $A:$A, 0), MATCH($AA$1, $A$1:$M$1, 0))</f>
        <v>3573.8000489999999</v>
      </c>
      <c r="AB97" s="1">
        <f>INDEX(A:M, MATCH(Z97, A:A, 0), MATCH(AB96, A96:M96, 0))</f>
        <v>2974</v>
      </c>
    </row>
    <row r="98" spans="1:28" x14ac:dyDescent="0.3">
      <c r="A98" s="2">
        <v>44421</v>
      </c>
      <c r="B98" s="1">
        <v>2980.8999020000001</v>
      </c>
      <c r="C98" s="1">
        <v>3002</v>
      </c>
      <c r="D98" s="1">
        <v>2973.1000979999999</v>
      </c>
      <c r="E98" s="1">
        <v>2988.6999510000001</v>
      </c>
      <c r="F98" s="1">
        <v>2985.1748050000001</v>
      </c>
      <c r="G98" s="1">
        <v>572250</v>
      </c>
      <c r="H98" s="1">
        <v>3584</v>
      </c>
      <c r="I98" s="1">
        <v>3634.4499510000001</v>
      </c>
      <c r="J98" s="1">
        <v>3518</v>
      </c>
      <c r="K98" s="1">
        <v>3594.5500489999999</v>
      </c>
      <c r="L98" s="1">
        <v>3594.5500489999999</v>
      </c>
      <c r="M98" s="1">
        <v>292706</v>
      </c>
      <c r="Z98" s="2">
        <v>44421</v>
      </c>
      <c r="AA98" s="1">
        <f>INDEX($A:$M, MATCH(Z98, $A:$A, 0), MATCH($AA$1, $A$1:$M$1, 0))</f>
        <v>3584</v>
      </c>
      <c r="AB98" s="1">
        <f>INDEX(A:M, MATCH(Z98, A:A, 0), MATCH(AB97, A97:M97, 0))</f>
        <v>2980.8999020000001</v>
      </c>
    </row>
    <row r="99" spans="1:28" x14ac:dyDescent="0.3">
      <c r="A99" s="2">
        <v>44424</v>
      </c>
      <c r="B99" s="1">
        <v>2980</v>
      </c>
      <c r="C99" s="1">
        <v>2984.1499020000001</v>
      </c>
      <c r="D99" s="1">
        <v>2960</v>
      </c>
      <c r="E99" s="1">
        <v>2971.3999020000001</v>
      </c>
      <c r="F99" s="1">
        <v>2967.8952640000002</v>
      </c>
      <c r="G99" s="1">
        <v>461742</v>
      </c>
      <c r="H99" s="1">
        <v>3594</v>
      </c>
      <c r="I99" s="1">
        <v>3659</v>
      </c>
      <c r="J99" s="1">
        <v>3566.3000489999999</v>
      </c>
      <c r="K99" s="1">
        <v>3633.5</v>
      </c>
      <c r="L99" s="1">
        <v>3633.5</v>
      </c>
      <c r="M99" s="1">
        <v>180469</v>
      </c>
      <c r="Z99" s="2">
        <v>44424</v>
      </c>
      <c r="AA99" s="1">
        <f>INDEX($A:$M, MATCH(Z99, $A:$A, 0), MATCH($AA$1, $A$1:$M$1, 0))</f>
        <v>3594</v>
      </c>
      <c r="AB99" s="1">
        <f>INDEX(A:M, MATCH(Z99, A:A, 0), MATCH(AB98, A98:M98, 0))</f>
        <v>2980</v>
      </c>
    </row>
    <row r="100" spans="1:28" x14ac:dyDescent="0.3">
      <c r="A100" s="2">
        <v>44425</v>
      </c>
      <c r="B100" s="1">
        <v>2974</v>
      </c>
      <c r="C100" s="1">
        <v>3044</v>
      </c>
      <c r="D100" s="1">
        <v>2973.1000979999999</v>
      </c>
      <c r="E100" s="1">
        <v>3015.3000489999999</v>
      </c>
      <c r="F100" s="1">
        <v>3011.7436520000001</v>
      </c>
      <c r="G100" s="1">
        <v>2036757</v>
      </c>
      <c r="H100" s="1">
        <v>3655</v>
      </c>
      <c r="I100" s="1">
        <v>3655</v>
      </c>
      <c r="J100" s="1">
        <v>3604</v>
      </c>
      <c r="K100" s="1">
        <v>3634.3500979999999</v>
      </c>
      <c r="L100" s="1">
        <v>3634.3500979999999</v>
      </c>
      <c r="M100" s="1">
        <v>201361</v>
      </c>
      <c r="Z100" s="2">
        <v>44425</v>
      </c>
      <c r="AA100" s="1">
        <f>INDEX($A:$M, MATCH(Z100, $A:$A, 0), MATCH($AA$1, $A$1:$M$1, 0))</f>
        <v>3655</v>
      </c>
      <c r="AB100" s="1">
        <f>INDEX(A:M, MATCH(Z100, A:A, 0), MATCH(AB99, A99:M99, 0))</f>
        <v>2974</v>
      </c>
    </row>
    <row r="101" spans="1:28" x14ac:dyDescent="0.3">
      <c r="A101" s="2">
        <v>44426</v>
      </c>
      <c r="B101" s="1">
        <v>3048</v>
      </c>
      <c r="C101" s="1">
        <v>3048</v>
      </c>
      <c r="D101" s="1">
        <v>2992.5500489999999</v>
      </c>
      <c r="E101" s="1">
        <v>3001.5500489999999</v>
      </c>
      <c r="F101" s="1">
        <v>2998.0097660000001</v>
      </c>
      <c r="G101" s="1">
        <v>1375320</v>
      </c>
      <c r="H101" s="1">
        <v>3640</v>
      </c>
      <c r="I101" s="1">
        <v>3668.25</v>
      </c>
      <c r="J101" s="1">
        <v>3626.1499020000001</v>
      </c>
      <c r="K101" s="1">
        <v>3650.6000979999999</v>
      </c>
      <c r="L101" s="1">
        <v>3650.6000979999999</v>
      </c>
      <c r="M101" s="1">
        <v>147888</v>
      </c>
      <c r="Z101" s="2">
        <v>44426</v>
      </c>
      <c r="AA101" s="1">
        <f>INDEX($A:$M, MATCH(Z101, $A:$A, 0), MATCH($AA$1, $A$1:$M$1, 0))</f>
        <v>3640</v>
      </c>
      <c r="AB101" s="1">
        <f>INDEX(A:M, MATCH(Z101, A:A, 0), MATCH(AB100, A100:M100, 0))</f>
        <v>3048</v>
      </c>
    </row>
    <row r="102" spans="1:28" x14ac:dyDescent="0.3">
      <c r="A102" s="2">
        <v>44428</v>
      </c>
      <c r="B102" s="1">
        <v>3001.5</v>
      </c>
      <c r="C102" s="1">
        <v>3124.0500489999999</v>
      </c>
      <c r="D102" s="1">
        <v>3001.5</v>
      </c>
      <c r="E102" s="1">
        <v>3112.9499510000001</v>
      </c>
      <c r="F102" s="1">
        <v>3109.2783199999999</v>
      </c>
      <c r="G102" s="1">
        <v>3931334</v>
      </c>
      <c r="H102" s="1">
        <v>3650</v>
      </c>
      <c r="I102" s="1">
        <v>3707.1499020000001</v>
      </c>
      <c r="J102" s="1">
        <v>3618</v>
      </c>
      <c r="K102" s="1">
        <v>3643.1000979999999</v>
      </c>
      <c r="L102" s="1">
        <v>3643.1000979999999</v>
      </c>
      <c r="M102" s="1">
        <v>232756</v>
      </c>
      <c r="Z102" s="2">
        <v>44428</v>
      </c>
      <c r="AA102" s="1">
        <f>INDEX($A:$M, MATCH(Z102, $A:$A, 0), MATCH($AA$1, $A$1:$M$1, 0))</f>
        <v>3650</v>
      </c>
      <c r="AB102" s="1">
        <f>INDEX(A:M, MATCH(Z102, A:A, 0), MATCH(AB101, A101:M101, 0))</f>
        <v>3001.5</v>
      </c>
    </row>
    <row r="103" spans="1:28" x14ac:dyDescent="0.3">
      <c r="A103" s="2">
        <v>44431</v>
      </c>
      <c r="B103" s="1">
        <v>3159.0500489999999</v>
      </c>
      <c r="C103" s="1">
        <v>3163.8500979999999</v>
      </c>
      <c r="D103" s="1">
        <v>3051</v>
      </c>
      <c r="E103" s="1">
        <v>3077.4499510000001</v>
      </c>
      <c r="F103" s="1">
        <v>3073.8203130000002</v>
      </c>
      <c r="G103" s="1">
        <v>1578949</v>
      </c>
      <c r="H103" s="1">
        <v>3663</v>
      </c>
      <c r="I103" s="1">
        <v>3700</v>
      </c>
      <c r="J103" s="1">
        <v>3644</v>
      </c>
      <c r="K103" s="1">
        <v>3673.75</v>
      </c>
      <c r="L103" s="1">
        <v>3673.75</v>
      </c>
      <c r="M103" s="1">
        <v>163347</v>
      </c>
      <c r="Z103" s="2">
        <v>44431</v>
      </c>
      <c r="AA103" s="1">
        <f>INDEX($A:$M, MATCH(Z103, $A:$A, 0), MATCH($AA$1, $A$1:$M$1, 0))</f>
        <v>3663</v>
      </c>
      <c r="AB103" s="1">
        <f>INDEX(A:M, MATCH(Z103, A:A, 0), MATCH(AB102, A102:M102, 0))</f>
        <v>3159.0500489999999</v>
      </c>
    </row>
    <row r="104" spans="1:28" x14ac:dyDescent="0.3">
      <c r="A104" s="2">
        <v>44432</v>
      </c>
      <c r="B104" s="1">
        <v>3092.8000489999999</v>
      </c>
      <c r="C104" s="1">
        <v>3092.8000489999999</v>
      </c>
      <c r="D104" s="1">
        <v>3034.5500489999999</v>
      </c>
      <c r="E104" s="1">
        <v>3045.9499510000001</v>
      </c>
      <c r="F104" s="1">
        <v>3042.357422</v>
      </c>
      <c r="G104" s="1">
        <v>763704</v>
      </c>
      <c r="H104" s="1">
        <v>3700</v>
      </c>
      <c r="I104" s="1">
        <v>3770</v>
      </c>
      <c r="J104" s="1">
        <v>3680</v>
      </c>
      <c r="K104" s="1">
        <v>3708.5500489999999</v>
      </c>
      <c r="L104" s="1">
        <v>3708.5500489999999</v>
      </c>
      <c r="M104" s="1">
        <v>343937</v>
      </c>
      <c r="Z104" s="2">
        <v>44432</v>
      </c>
      <c r="AA104" s="1">
        <f>INDEX($A:$M, MATCH(Z104, $A:$A, 0), MATCH($AA$1, $A$1:$M$1, 0))</f>
        <v>3700</v>
      </c>
      <c r="AB104" s="1">
        <f>INDEX(A:M, MATCH(Z104, A:A, 0), MATCH(AB103, A103:M103, 0))</f>
        <v>3092.8000489999999</v>
      </c>
    </row>
    <row r="105" spans="1:28" x14ac:dyDescent="0.3">
      <c r="A105" s="2">
        <v>44433</v>
      </c>
      <c r="B105" s="1">
        <v>3026</v>
      </c>
      <c r="C105" s="1">
        <v>3070</v>
      </c>
      <c r="D105" s="1">
        <v>3012.6000979999999</v>
      </c>
      <c r="E105" s="1">
        <v>3038.0500489999999</v>
      </c>
      <c r="F105" s="1">
        <v>3034.466797</v>
      </c>
      <c r="G105" s="1">
        <v>797870</v>
      </c>
      <c r="H105" s="1">
        <v>3749.9499510000001</v>
      </c>
      <c r="I105" s="1">
        <v>3847.4499510000001</v>
      </c>
      <c r="J105" s="1">
        <v>3716.1499020000001</v>
      </c>
      <c r="K105" s="1">
        <v>3789.6999510000001</v>
      </c>
      <c r="L105" s="1">
        <v>3789.6999510000001</v>
      </c>
      <c r="M105" s="1">
        <v>332203</v>
      </c>
      <c r="Z105" s="2">
        <v>44433</v>
      </c>
      <c r="AA105" s="1">
        <f>INDEX($A:$M, MATCH(Z105, $A:$A, 0), MATCH($AA$1, $A$1:$M$1, 0))</f>
        <v>3749.9499510000001</v>
      </c>
      <c r="AB105" s="1">
        <f>INDEX(A:M, MATCH(Z105, A:A, 0), MATCH(AB104, A104:M104, 0))</f>
        <v>3026</v>
      </c>
    </row>
    <row r="106" spans="1:28" x14ac:dyDescent="0.3">
      <c r="A106" s="2">
        <v>44434</v>
      </c>
      <c r="B106" s="1">
        <v>3064</v>
      </c>
      <c r="C106" s="1">
        <v>3084.5</v>
      </c>
      <c r="D106" s="1">
        <v>3026.1999510000001</v>
      </c>
      <c r="E106" s="1">
        <v>3039.6499020000001</v>
      </c>
      <c r="F106" s="1">
        <v>3036.0646969999998</v>
      </c>
      <c r="G106" s="1">
        <v>1319516</v>
      </c>
      <c r="H106" s="1">
        <v>3814</v>
      </c>
      <c r="I106" s="1">
        <v>3889.8000489999999</v>
      </c>
      <c r="J106" s="1">
        <v>3800.0500489999999</v>
      </c>
      <c r="K106" s="1">
        <v>3847.8000489999999</v>
      </c>
      <c r="L106" s="1">
        <v>3847.8000489999999</v>
      </c>
      <c r="M106" s="1">
        <v>532719</v>
      </c>
      <c r="Z106" s="2">
        <v>44434</v>
      </c>
      <c r="AA106" s="1">
        <f>INDEX($A:$M, MATCH(Z106, $A:$A, 0), MATCH($AA$1, $A$1:$M$1, 0))</f>
        <v>3814</v>
      </c>
      <c r="AB106" s="1">
        <f>INDEX(A:M, MATCH(Z106, A:A, 0), MATCH(AB105, A105:M105, 0))</f>
        <v>3064</v>
      </c>
    </row>
    <row r="107" spans="1:28" x14ac:dyDescent="0.3">
      <c r="A107" s="2">
        <v>44435</v>
      </c>
      <c r="B107" s="1">
        <v>3040.4499510000001</v>
      </c>
      <c r="C107" s="1">
        <v>3057.9499510000001</v>
      </c>
      <c r="D107" s="1">
        <v>3020.5</v>
      </c>
      <c r="E107" s="1">
        <v>3036.8000489999999</v>
      </c>
      <c r="F107" s="1">
        <v>3033.2182619999999</v>
      </c>
      <c r="G107" s="1">
        <v>634375</v>
      </c>
      <c r="H107" s="1">
        <v>3887</v>
      </c>
      <c r="I107" s="1">
        <v>3898</v>
      </c>
      <c r="J107" s="1">
        <v>3815</v>
      </c>
      <c r="K107" s="1">
        <v>3833.0500489999999</v>
      </c>
      <c r="L107" s="1">
        <v>3833.0500489999999</v>
      </c>
      <c r="M107" s="1">
        <v>349704</v>
      </c>
      <c r="Z107" s="2">
        <v>44435</v>
      </c>
      <c r="AA107" s="1">
        <f>INDEX($A:$M, MATCH(Z107, $A:$A, 0), MATCH($AA$1, $A$1:$M$1, 0))</f>
        <v>3887</v>
      </c>
      <c r="AB107" s="1">
        <f>INDEX(A:M, MATCH(Z107, A:A, 0), MATCH(AB106, A106:M106, 0))</f>
        <v>3040.4499510000001</v>
      </c>
    </row>
    <row r="108" spans="1:28" x14ac:dyDescent="0.3">
      <c r="A108" s="2">
        <v>44438</v>
      </c>
      <c r="B108" s="1">
        <v>3056.6999510000001</v>
      </c>
      <c r="C108" s="1">
        <v>3114.25</v>
      </c>
      <c r="D108" s="1">
        <v>3048.0500489999999</v>
      </c>
      <c r="E108" s="1">
        <v>3108.75</v>
      </c>
      <c r="F108" s="1">
        <v>3105.0832519999999</v>
      </c>
      <c r="G108" s="1">
        <v>1051747</v>
      </c>
      <c r="H108" s="1">
        <v>3862</v>
      </c>
      <c r="I108" s="1">
        <v>3899</v>
      </c>
      <c r="J108" s="1">
        <v>3835.3000489999999</v>
      </c>
      <c r="K108" s="1">
        <v>3888.3500979999999</v>
      </c>
      <c r="L108" s="1">
        <v>3888.3500979999999</v>
      </c>
      <c r="M108" s="1">
        <v>267923</v>
      </c>
      <c r="Z108" s="2">
        <v>44438</v>
      </c>
      <c r="AA108" s="1">
        <f>INDEX($A:$M, MATCH(Z108, $A:$A, 0), MATCH($AA$1, $A$1:$M$1, 0))</f>
        <v>3862</v>
      </c>
      <c r="AB108" s="1">
        <f>INDEX(A:M, MATCH(Z108, A:A, 0), MATCH(AB107, A107:M107, 0))</f>
        <v>3056.6999510000001</v>
      </c>
    </row>
    <row r="109" spans="1:28" x14ac:dyDescent="0.3">
      <c r="A109" s="2">
        <v>44439</v>
      </c>
      <c r="B109" s="1">
        <v>3108.75</v>
      </c>
      <c r="C109" s="1">
        <v>3210</v>
      </c>
      <c r="D109" s="1">
        <v>3103.0500489999999</v>
      </c>
      <c r="E109" s="1">
        <v>3201.3500979999999</v>
      </c>
      <c r="F109" s="1">
        <v>3197.5742190000001</v>
      </c>
      <c r="G109" s="1">
        <v>2283290</v>
      </c>
      <c r="H109" s="1">
        <v>3899</v>
      </c>
      <c r="I109" s="1">
        <v>3979.75</v>
      </c>
      <c r="J109" s="1">
        <v>3871.1499020000001</v>
      </c>
      <c r="K109" s="1">
        <v>3954.8000489999999</v>
      </c>
      <c r="L109" s="1">
        <v>3954.8000489999999</v>
      </c>
      <c r="M109" s="1">
        <v>378858</v>
      </c>
      <c r="Z109" s="2">
        <v>44439</v>
      </c>
      <c r="AA109" s="1">
        <f>INDEX($A:$M, MATCH(Z109, $A:$A, 0), MATCH($AA$1, $A$1:$M$1, 0))</f>
        <v>3899</v>
      </c>
      <c r="AB109" s="1">
        <f>INDEX(A:M, MATCH(Z109, A:A, 0), MATCH(AB108, A108:M108, 0))</f>
        <v>3108.75</v>
      </c>
    </row>
    <row r="110" spans="1:28" x14ac:dyDescent="0.3">
      <c r="A110" s="2">
        <v>44440</v>
      </c>
      <c r="B110" s="1">
        <v>3230.0500489999999</v>
      </c>
      <c r="C110" s="1">
        <v>3333</v>
      </c>
      <c r="D110" s="1">
        <v>3215</v>
      </c>
      <c r="E110" s="1">
        <v>3302.75</v>
      </c>
      <c r="F110" s="1">
        <v>3298.8544919999999</v>
      </c>
      <c r="G110" s="1">
        <v>2423168</v>
      </c>
      <c r="H110" s="1">
        <v>3978</v>
      </c>
      <c r="I110" s="1">
        <v>4015</v>
      </c>
      <c r="J110" s="1">
        <v>3960.0500489999999</v>
      </c>
      <c r="K110" s="1">
        <v>3968.6000979999999</v>
      </c>
      <c r="L110" s="1">
        <v>3968.6000979999999</v>
      </c>
      <c r="M110" s="1">
        <v>249485</v>
      </c>
      <c r="Z110" s="2">
        <v>44440</v>
      </c>
      <c r="AA110" s="1">
        <f>INDEX($A:$M, MATCH(Z110, $A:$A, 0), MATCH($AA$1, $A$1:$M$1, 0))</f>
        <v>3978</v>
      </c>
      <c r="AB110" s="1">
        <f>INDEX(A:M, MATCH(Z110, A:A, 0), MATCH(AB109, A109:M109, 0))</f>
        <v>3230.0500489999999</v>
      </c>
    </row>
    <row r="111" spans="1:28" x14ac:dyDescent="0.3">
      <c r="A111" s="2">
        <v>44441</v>
      </c>
      <c r="B111" s="1">
        <v>3312.9499510000001</v>
      </c>
      <c r="C111" s="1">
        <v>3319</v>
      </c>
      <c r="D111" s="1">
        <v>3266.6499020000001</v>
      </c>
      <c r="E111" s="1">
        <v>3301.6000979999999</v>
      </c>
      <c r="F111" s="1">
        <v>3297.7060550000001</v>
      </c>
      <c r="G111" s="1">
        <v>847517</v>
      </c>
      <c r="H111" s="1">
        <v>3979</v>
      </c>
      <c r="I111" s="1">
        <v>3984.4499510000001</v>
      </c>
      <c r="J111" s="1">
        <v>3911</v>
      </c>
      <c r="K111" s="1">
        <v>3917.6499020000001</v>
      </c>
      <c r="L111" s="1">
        <v>3917.6499020000001</v>
      </c>
      <c r="M111" s="1">
        <v>206216</v>
      </c>
      <c r="Z111" s="2">
        <v>44441</v>
      </c>
      <c r="AA111" s="1">
        <f>INDEX($A:$M, MATCH(Z111, $A:$A, 0), MATCH($AA$1, $A$1:$M$1, 0))</f>
        <v>3979</v>
      </c>
      <c r="AB111" s="1">
        <f>INDEX(A:M, MATCH(Z111, A:A, 0), MATCH(AB110, A110:M110, 0))</f>
        <v>3312.9499510000001</v>
      </c>
    </row>
    <row r="112" spans="1:28" x14ac:dyDescent="0.3">
      <c r="A112" s="2">
        <v>44442</v>
      </c>
      <c r="B112" s="1">
        <v>3301.6000979999999</v>
      </c>
      <c r="C112" s="1">
        <v>3344.9499510000001</v>
      </c>
      <c r="D112" s="1">
        <v>3286.5</v>
      </c>
      <c r="E112" s="1">
        <v>3338.8000489999999</v>
      </c>
      <c r="F112" s="1">
        <v>3334.8620609999998</v>
      </c>
      <c r="G112" s="1">
        <v>832039</v>
      </c>
      <c r="H112" s="1">
        <v>3940</v>
      </c>
      <c r="I112" s="1">
        <v>3961.6999510000001</v>
      </c>
      <c r="J112" s="1">
        <v>3925.0500489999999</v>
      </c>
      <c r="K112" s="1">
        <v>3938.8999020000001</v>
      </c>
      <c r="L112" s="1">
        <v>3938.8999020000001</v>
      </c>
      <c r="M112" s="1">
        <v>262989</v>
      </c>
      <c r="Z112" s="2">
        <v>44442</v>
      </c>
      <c r="AA112" s="1">
        <f>INDEX($A:$M, MATCH(Z112, $A:$A, 0), MATCH($AA$1, $A$1:$M$1, 0))</f>
        <v>3940</v>
      </c>
      <c r="AB112" s="1">
        <f>INDEX(A:M, MATCH(Z112, A:A, 0), MATCH(AB111, A111:M111, 0))</f>
        <v>3301.6000979999999</v>
      </c>
    </row>
    <row r="113" spans="1:28" x14ac:dyDescent="0.3">
      <c r="A113" s="2">
        <v>44445</v>
      </c>
      <c r="B113" s="1">
        <v>3342</v>
      </c>
      <c r="C113" s="1">
        <v>3347.6999510000001</v>
      </c>
      <c r="D113" s="1">
        <v>3305.8999020000001</v>
      </c>
      <c r="E113" s="1">
        <v>3315.5500489999999</v>
      </c>
      <c r="F113" s="1">
        <v>3311.639404</v>
      </c>
      <c r="G113" s="1">
        <v>664394</v>
      </c>
      <c r="H113" s="1">
        <v>3959.8999020000001</v>
      </c>
      <c r="I113" s="1">
        <v>3960</v>
      </c>
      <c r="J113" s="1">
        <v>3902.1999510000001</v>
      </c>
      <c r="K113" s="1">
        <v>3921.3000489999999</v>
      </c>
      <c r="L113" s="1">
        <v>3921.3000489999999</v>
      </c>
      <c r="M113" s="1">
        <v>227165</v>
      </c>
      <c r="Z113" s="2">
        <v>44445</v>
      </c>
      <c r="AA113" s="1">
        <f>INDEX($A:$M, MATCH(Z113, $A:$A, 0), MATCH($AA$1, $A$1:$M$1, 0))</f>
        <v>3959.8999020000001</v>
      </c>
      <c r="AB113" s="1">
        <f>INDEX(A:M, MATCH(Z113, A:A, 0), MATCH(AB112, A112:M112, 0))</f>
        <v>3342</v>
      </c>
    </row>
    <row r="114" spans="1:28" x14ac:dyDescent="0.3">
      <c r="A114" s="2">
        <v>44446</v>
      </c>
      <c r="B114" s="1">
        <v>3333.5</v>
      </c>
      <c r="C114" s="1">
        <v>3394.6000979999999</v>
      </c>
      <c r="D114" s="1">
        <v>3323.8500979999999</v>
      </c>
      <c r="E114" s="1">
        <v>3336.25</v>
      </c>
      <c r="F114" s="1">
        <v>3332.3149410000001</v>
      </c>
      <c r="G114" s="1">
        <v>1285818</v>
      </c>
      <c r="H114" s="1">
        <v>3938</v>
      </c>
      <c r="I114" s="1">
        <v>3963.6999510000001</v>
      </c>
      <c r="J114" s="1">
        <v>3875.1000979999999</v>
      </c>
      <c r="K114" s="1">
        <v>3937.5500489999999</v>
      </c>
      <c r="L114" s="1">
        <v>3937.5500489999999</v>
      </c>
      <c r="M114" s="1">
        <v>357260</v>
      </c>
      <c r="Z114" s="2">
        <v>44446</v>
      </c>
      <c r="AA114" s="1">
        <f>INDEX($A:$M, MATCH(Z114, $A:$A, 0), MATCH($AA$1, $A$1:$M$1, 0))</f>
        <v>3938</v>
      </c>
      <c r="AB114" s="1">
        <f>INDEX(A:M, MATCH(Z114, A:A, 0), MATCH(AB113, A113:M113, 0))</f>
        <v>3333.5</v>
      </c>
    </row>
    <row r="115" spans="1:28" x14ac:dyDescent="0.3">
      <c r="A115" s="2">
        <v>44447</v>
      </c>
      <c r="B115" s="1">
        <v>3345</v>
      </c>
      <c r="C115" s="1">
        <v>3361.5500489999999</v>
      </c>
      <c r="D115" s="1">
        <v>3297</v>
      </c>
      <c r="E115" s="1">
        <v>3336.6000979999999</v>
      </c>
      <c r="F115" s="1">
        <v>3332.6647950000001</v>
      </c>
      <c r="G115" s="1">
        <v>702598</v>
      </c>
      <c r="H115" s="1">
        <v>3945</v>
      </c>
      <c r="I115" s="1">
        <v>3977</v>
      </c>
      <c r="J115" s="1">
        <v>3921.1000979999999</v>
      </c>
      <c r="K115" s="1">
        <v>3932.9499510000001</v>
      </c>
      <c r="L115" s="1">
        <v>3932.9499510000001</v>
      </c>
      <c r="M115" s="1">
        <v>462531</v>
      </c>
      <c r="Z115" s="2">
        <v>44447</v>
      </c>
      <c r="AA115" s="1">
        <f>INDEX($A:$M, MATCH(Z115, $A:$A, 0), MATCH($AA$1, $A$1:$M$1, 0))</f>
        <v>3945</v>
      </c>
      <c r="AB115" s="1">
        <f>INDEX(A:M, MATCH(Z115, A:A, 0), MATCH(AB114, A114:M114, 0))</f>
        <v>3345</v>
      </c>
    </row>
    <row r="116" spans="1:28" x14ac:dyDescent="0.3">
      <c r="A116" s="2">
        <v>44448</v>
      </c>
      <c r="B116" s="1">
        <v>3305</v>
      </c>
      <c r="C116" s="1">
        <v>3359</v>
      </c>
      <c r="D116" s="1">
        <v>3305</v>
      </c>
      <c r="E116" s="1">
        <v>3346.3500979999999</v>
      </c>
      <c r="F116" s="1">
        <v>3342.4033199999999</v>
      </c>
      <c r="G116" s="1">
        <v>591745</v>
      </c>
      <c r="H116" s="1">
        <v>3934</v>
      </c>
      <c r="I116" s="1">
        <v>3964</v>
      </c>
      <c r="J116" s="1">
        <v>3908</v>
      </c>
      <c r="K116" s="1">
        <v>3950.5</v>
      </c>
      <c r="L116" s="1">
        <v>3950.5</v>
      </c>
      <c r="M116" s="1">
        <v>154864</v>
      </c>
      <c r="Z116" s="2">
        <v>44448</v>
      </c>
      <c r="AA116" s="1">
        <f>INDEX($A:$M, MATCH(Z116, $A:$A, 0), MATCH($AA$1, $A$1:$M$1, 0))</f>
        <v>3934</v>
      </c>
      <c r="AB116" s="1">
        <f>INDEX(A:M, MATCH(Z116, A:A, 0), MATCH(AB115, A115:M115, 0))</f>
        <v>3305</v>
      </c>
    </row>
    <row r="117" spans="1:28" x14ac:dyDescent="0.3">
      <c r="A117" s="2">
        <v>44452</v>
      </c>
      <c r="B117" s="1">
        <v>3346.6000979999999</v>
      </c>
      <c r="C117" s="1">
        <v>3374</v>
      </c>
      <c r="D117" s="1">
        <v>3330.3500979999999</v>
      </c>
      <c r="E117" s="1">
        <v>3367.0500489999999</v>
      </c>
      <c r="F117" s="1">
        <v>3363.078857</v>
      </c>
      <c r="G117" s="1">
        <v>610920</v>
      </c>
      <c r="H117" s="1">
        <v>3951</v>
      </c>
      <c r="I117" s="1">
        <v>3986.1499020000001</v>
      </c>
      <c r="J117" s="1">
        <v>3948.1000979999999</v>
      </c>
      <c r="K117" s="1">
        <v>3961.8500979999999</v>
      </c>
      <c r="L117" s="1">
        <v>3961.8500979999999</v>
      </c>
      <c r="M117" s="1">
        <v>145925</v>
      </c>
      <c r="Z117" s="2">
        <v>44452</v>
      </c>
      <c r="AA117" s="1">
        <f>INDEX($A:$M, MATCH(Z117, $A:$A, 0), MATCH($AA$1, $A$1:$M$1, 0))</f>
        <v>3951</v>
      </c>
      <c r="AB117" s="1">
        <f>INDEX(A:M, MATCH(Z117, A:A, 0), MATCH(AB116, A116:M116, 0))</f>
        <v>3346.6000979999999</v>
      </c>
    </row>
    <row r="118" spans="1:28" x14ac:dyDescent="0.3">
      <c r="A118" s="2">
        <v>44453</v>
      </c>
      <c r="B118" s="1">
        <v>3384.8999020000001</v>
      </c>
      <c r="C118" s="1">
        <v>3388.6000979999999</v>
      </c>
      <c r="D118" s="1">
        <v>3356.8500979999999</v>
      </c>
      <c r="E118" s="1">
        <v>3362.5</v>
      </c>
      <c r="F118" s="1">
        <v>3358.5341800000001</v>
      </c>
      <c r="G118" s="1">
        <v>569412</v>
      </c>
      <c r="H118" s="1">
        <v>3970</v>
      </c>
      <c r="I118" s="1">
        <v>4000</v>
      </c>
      <c r="J118" s="1">
        <v>3964.8999020000001</v>
      </c>
      <c r="K118" s="1">
        <v>3979.6999510000001</v>
      </c>
      <c r="L118" s="1">
        <v>3979.6999510000001</v>
      </c>
      <c r="M118" s="1">
        <v>203689</v>
      </c>
      <c r="Z118" s="2">
        <v>44453</v>
      </c>
      <c r="AA118" s="1">
        <f>INDEX($A:$M, MATCH(Z118, $A:$A, 0), MATCH($AA$1, $A$1:$M$1, 0))</f>
        <v>3970</v>
      </c>
      <c r="AB118" s="1">
        <f>INDEX(A:M, MATCH(Z118, A:A, 0), MATCH(AB117, A117:M117, 0))</f>
        <v>3384.8999020000001</v>
      </c>
    </row>
    <row r="119" spans="1:28" x14ac:dyDescent="0.3">
      <c r="A119" s="2">
        <v>44454</v>
      </c>
      <c r="B119" s="1">
        <v>3361.8500979999999</v>
      </c>
      <c r="C119" s="1">
        <v>3383.9499510000001</v>
      </c>
      <c r="D119" s="1">
        <v>3346.9499510000001</v>
      </c>
      <c r="E119" s="1">
        <v>3352.3000489999999</v>
      </c>
      <c r="F119" s="1">
        <v>3348.3461910000001</v>
      </c>
      <c r="G119" s="1">
        <v>587855</v>
      </c>
      <c r="H119" s="1">
        <v>3979.8999020000001</v>
      </c>
      <c r="I119" s="1">
        <v>3992.1999510000001</v>
      </c>
      <c r="J119" s="1">
        <v>3961</v>
      </c>
      <c r="K119" s="1">
        <v>3982.6000979999999</v>
      </c>
      <c r="L119" s="1">
        <v>3982.6000979999999</v>
      </c>
      <c r="M119" s="1">
        <v>339798</v>
      </c>
      <c r="Z119" s="2">
        <v>44454</v>
      </c>
      <c r="AA119" s="1">
        <f>INDEX($A:$M, MATCH(Z119, $A:$A, 0), MATCH($AA$1, $A$1:$M$1, 0))</f>
        <v>3979.8999020000001</v>
      </c>
      <c r="AB119" s="1">
        <f>INDEX(A:M, MATCH(Z119, A:A, 0), MATCH(AB118, A118:M118, 0))</f>
        <v>3361.8500979999999</v>
      </c>
    </row>
    <row r="120" spans="1:28" x14ac:dyDescent="0.3">
      <c r="A120" s="2">
        <v>44455</v>
      </c>
      <c r="B120" s="1">
        <v>3350</v>
      </c>
      <c r="C120" s="1">
        <v>3371</v>
      </c>
      <c r="D120" s="1">
        <v>3335</v>
      </c>
      <c r="E120" s="1">
        <v>3342.1000979999999</v>
      </c>
      <c r="F120" s="1">
        <v>3338.158203</v>
      </c>
      <c r="G120" s="1">
        <v>516746</v>
      </c>
      <c r="H120" s="1">
        <v>3982.6000979999999</v>
      </c>
      <c r="I120" s="1">
        <v>4100</v>
      </c>
      <c r="J120" s="1">
        <v>3981.0500489999999</v>
      </c>
      <c r="K120" s="1">
        <v>4084.5</v>
      </c>
      <c r="L120" s="1">
        <v>4084.5</v>
      </c>
      <c r="M120" s="1">
        <v>486429</v>
      </c>
      <c r="Z120" s="2">
        <v>44455</v>
      </c>
      <c r="AA120" s="1">
        <f>INDEX($A:$M, MATCH(Z120, $A:$A, 0), MATCH($AA$1, $A$1:$M$1, 0))</f>
        <v>3982.6000979999999</v>
      </c>
      <c r="AB120" s="1">
        <f>INDEX(A:M, MATCH(Z120, A:A, 0), MATCH(AB119, A119:M119, 0))</f>
        <v>3350</v>
      </c>
    </row>
    <row r="121" spans="1:28" x14ac:dyDescent="0.3">
      <c r="A121" s="2">
        <v>44456</v>
      </c>
      <c r="B121" s="1">
        <v>3352</v>
      </c>
      <c r="C121" s="1">
        <v>3382</v>
      </c>
      <c r="D121" s="1">
        <v>3285.0500489999999</v>
      </c>
      <c r="E121" s="1">
        <v>3303.0500489999999</v>
      </c>
      <c r="F121" s="1">
        <v>3299.154297</v>
      </c>
      <c r="G121" s="1">
        <v>1545695</v>
      </c>
      <c r="H121" s="1">
        <v>4124</v>
      </c>
      <c r="I121" s="1">
        <v>4294.6499020000001</v>
      </c>
      <c r="J121" s="1">
        <v>4120</v>
      </c>
      <c r="K121" s="1">
        <v>4239.6499020000001</v>
      </c>
      <c r="L121" s="1">
        <v>4239.6499020000001</v>
      </c>
      <c r="M121" s="1">
        <v>767511</v>
      </c>
      <c r="Z121" s="2">
        <v>44456</v>
      </c>
      <c r="AA121" s="1">
        <f>INDEX($A:$M, MATCH(Z121, $A:$A, 0), MATCH($AA$1, $A$1:$M$1, 0))</f>
        <v>4124</v>
      </c>
      <c r="AB121" s="1">
        <f>INDEX(A:M, MATCH(Z121, A:A, 0), MATCH(AB120, A120:M120, 0))</f>
        <v>3352</v>
      </c>
    </row>
    <row r="122" spans="1:28" x14ac:dyDescent="0.3">
      <c r="A122" s="2">
        <v>44459</v>
      </c>
      <c r="B122" s="1">
        <v>3299.9499510000001</v>
      </c>
      <c r="C122" s="1">
        <v>3315</v>
      </c>
      <c r="D122" s="1">
        <v>3265</v>
      </c>
      <c r="E122" s="1">
        <v>3271.5500489999999</v>
      </c>
      <c r="F122" s="1">
        <v>3267.6914059999999</v>
      </c>
      <c r="G122" s="1">
        <v>689288</v>
      </c>
      <c r="H122" s="1">
        <v>4208</v>
      </c>
      <c r="I122" s="1">
        <v>4430</v>
      </c>
      <c r="J122" s="1">
        <v>4151</v>
      </c>
      <c r="K122" s="1">
        <v>4355.8999020000001</v>
      </c>
      <c r="L122" s="1">
        <v>4355.8999020000001</v>
      </c>
      <c r="M122" s="1">
        <v>438432</v>
      </c>
      <c r="Z122" s="2">
        <v>44459</v>
      </c>
      <c r="AA122" s="1">
        <f>INDEX($A:$M, MATCH(Z122, $A:$A, 0), MATCH($AA$1, $A$1:$M$1, 0))</f>
        <v>4208</v>
      </c>
      <c r="AB122" s="1">
        <f>INDEX(A:M, MATCH(Z122, A:A, 0), MATCH(AB121, A121:M121, 0))</f>
        <v>3299.9499510000001</v>
      </c>
    </row>
    <row r="123" spans="1:28" x14ac:dyDescent="0.3">
      <c r="A123" s="2">
        <v>44460</v>
      </c>
      <c r="B123" s="1">
        <v>3271.5500489999999</v>
      </c>
      <c r="C123" s="1">
        <v>3335</v>
      </c>
      <c r="D123" s="1">
        <v>3271</v>
      </c>
      <c r="E123" s="1">
        <v>3309.1999510000001</v>
      </c>
      <c r="F123" s="1">
        <v>3305.296875</v>
      </c>
      <c r="G123" s="1">
        <v>922057</v>
      </c>
      <c r="H123" s="1">
        <v>4415.1000979999999</v>
      </c>
      <c r="I123" s="1">
        <v>4450</v>
      </c>
      <c r="J123" s="1">
        <v>4305.0498049999997</v>
      </c>
      <c r="K123" s="1">
        <v>4361.9501950000003</v>
      </c>
      <c r="L123" s="1">
        <v>4361.9501950000003</v>
      </c>
      <c r="M123" s="1">
        <v>437837</v>
      </c>
      <c r="Z123" s="2">
        <v>44460</v>
      </c>
      <c r="AA123" s="1">
        <f>INDEX($A:$M, MATCH(Z123, $A:$A, 0), MATCH($AA$1, $A$1:$M$1, 0))</f>
        <v>4415.1000979999999</v>
      </c>
      <c r="AB123" s="1">
        <f>INDEX(A:M, MATCH(Z123, A:A, 0), MATCH(AB122, A122:M122, 0))</f>
        <v>3271.5500489999999</v>
      </c>
    </row>
    <row r="124" spans="1:28" x14ac:dyDescent="0.3">
      <c r="A124" s="2">
        <v>44461</v>
      </c>
      <c r="B124" s="1">
        <v>3328.5</v>
      </c>
      <c r="C124" s="1">
        <v>3329.9499510000001</v>
      </c>
      <c r="D124" s="1">
        <v>3288.25</v>
      </c>
      <c r="E124" s="1">
        <v>3317.5</v>
      </c>
      <c r="F124" s="1">
        <v>3313.5871579999998</v>
      </c>
      <c r="G124" s="1">
        <v>825945</v>
      </c>
      <c r="H124" s="1">
        <v>4373</v>
      </c>
      <c r="I124" s="1">
        <v>4420</v>
      </c>
      <c r="J124" s="1">
        <v>4331.2001950000003</v>
      </c>
      <c r="K124" s="1">
        <v>4378.6499020000001</v>
      </c>
      <c r="L124" s="1">
        <v>4378.6499020000001</v>
      </c>
      <c r="M124" s="1">
        <v>243996</v>
      </c>
      <c r="Z124" s="2">
        <v>44461</v>
      </c>
      <c r="AA124" s="1">
        <f>INDEX($A:$M, MATCH(Z124, $A:$A, 0), MATCH($AA$1, $A$1:$M$1, 0))</f>
        <v>4373</v>
      </c>
      <c r="AB124" s="1">
        <f>INDEX(A:M, MATCH(Z124, A:A, 0), MATCH(AB123, A123:M123, 0))</f>
        <v>3328.5</v>
      </c>
    </row>
    <row r="125" spans="1:28" x14ac:dyDescent="0.3">
      <c r="A125" s="2">
        <v>44462</v>
      </c>
      <c r="B125" s="1">
        <v>3340</v>
      </c>
      <c r="C125" s="1">
        <v>3340</v>
      </c>
      <c r="D125" s="1">
        <v>3315</v>
      </c>
      <c r="E125" s="1">
        <v>3320.6499020000001</v>
      </c>
      <c r="F125" s="1">
        <v>3316.7333979999999</v>
      </c>
      <c r="G125" s="1">
        <v>694716</v>
      </c>
      <c r="H125" s="1">
        <v>4408.9501950000003</v>
      </c>
      <c r="I125" s="1">
        <v>4500</v>
      </c>
      <c r="J125" s="1">
        <v>4372.3500979999999</v>
      </c>
      <c r="K125" s="1">
        <v>4409.8999020000001</v>
      </c>
      <c r="L125" s="1">
        <v>4409.8999020000001</v>
      </c>
      <c r="M125" s="1">
        <v>325049</v>
      </c>
      <c r="Z125" s="2">
        <v>44462</v>
      </c>
      <c r="AA125" s="1">
        <f>INDEX($A:$M, MATCH(Z125, $A:$A, 0), MATCH($AA$1, $A$1:$M$1, 0))</f>
        <v>4408.9501950000003</v>
      </c>
      <c r="AB125" s="1">
        <f>INDEX(A:M, MATCH(Z125, A:A, 0), MATCH(AB124, A124:M124, 0))</f>
        <v>3340</v>
      </c>
    </row>
    <row r="126" spans="1:28" x14ac:dyDescent="0.3">
      <c r="A126" s="2">
        <v>44463</v>
      </c>
      <c r="B126" s="1">
        <v>3330</v>
      </c>
      <c r="C126" s="1">
        <v>3505</v>
      </c>
      <c r="D126" s="1">
        <v>3320.8500979999999</v>
      </c>
      <c r="E126" s="1">
        <v>3448.6000979999999</v>
      </c>
      <c r="F126" s="1">
        <v>3444.5327149999998</v>
      </c>
      <c r="G126" s="1">
        <v>2775975</v>
      </c>
      <c r="H126" s="1">
        <v>4440</v>
      </c>
      <c r="I126" s="1">
        <v>4461</v>
      </c>
      <c r="J126" s="1">
        <v>4405</v>
      </c>
      <c r="K126" s="1">
        <v>4422.3500979999999</v>
      </c>
      <c r="L126" s="1">
        <v>4422.3500979999999</v>
      </c>
      <c r="M126" s="1">
        <v>198742</v>
      </c>
      <c r="Z126" s="2">
        <v>44463</v>
      </c>
      <c r="AA126" s="1">
        <f>INDEX($A:$M, MATCH(Z126, $A:$A, 0), MATCH($AA$1, $A$1:$M$1, 0))</f>
        <v>4440</v>
      </c>
      <c r="AB126" s="1">
        <f>INDEX(A:M, MATCH(Z126, A:A, 0), MATCH(AB125, A125:M125, 0))</f>
        <v>3330</v>
      </c>
    </row>
    <row r="127" spans="1:28" x14ac:dyDescent="0.3">
      <c r="A127" s="2">
        <v>44466</v>
      </c>
      <c r="B127" s="1">
        <v>3461.6000979999999</v>
      </c>
      <c r="C127" s="1">
        <v>3470</v>
      </c>
      <c r="D127" s="1">
        <v>3417.6499020000001</v>
      </c>
      <c r="E127" s="1">
        <v>3430.6499020000001</v>
      </c>
      <c r="F127" s="1">
        <v>3426.6035160000001</v>
      </c>
      <c r="G127" s="1">
        <v>902449</v>
      </c>
      <c r="H127" s="1">
        <v>4435</v>
      </c>
      <c r="I127" s="1">
        <v>4448.9501950000003</v>
      </c>
      <c r="J127" s="1">
        <v>4292.5</v>
      </c>
      <c r="K127" s="1">
        <v>4385.75</v>
      </c>
      <c r="L127" s="1">
        <v>4385.75</v>
      </c>
      <c r="M127" s="1">
        <v>555192</v>
      </c>
      <c r="Z127" s="2">
        <v>44466</v>
      </c>
      <c r="AA127" s="1">
        <f>INDEX($A:$M, MATCH(Z127, $A:$A, 0), MATCH($AA$1, $A$1:$M$1, 0))</f>
        <v>4435</v>
      </c>
      <c r="AB127" s="1">
        <f>INDEX(A:M, MATCH(Z127, A:A, 0), MATCH(AB126, A126:M126, 0))</f>
        <v>3461.6000979999999</v>
      </c>
    </row>
    <row r="128" spans="1:28" x14ac:dyDescent="0.3">
      <c r="A128" s="2">
        <v>44467</v>
      </c>
      <c r="B128" s="1">
        <v>3424.8999020000001</v>
      </c>
      <c r="C128" s="1">
        <v>3429.6999510000001</v>
      </c>
      <c r="D128" s="1">
        <v>3350</v>
      </c>
      <c r="E128" s="1">
        <v>3379.6999510000001</v>
      </c>
      <c r="F128" s="1">
        <v>3375.7136230000001</v>
      </c>
      <c r="G128" s="1">
        <v>961271</v>
      </c>
      <c r="H128" s="1">
        <v>4397</v>
      </c>
      <c r="I128" s="1">
        <v>4421.8999020000001</v>
      </c>
      <c r="J128" s="1">
        <v>4294.9501950000003</v>
      </c>
      <c r="K128" s="1">
        <v>4315.75</v>
      </c>
      <c r="L128" s="1">
        <v>4315.75</v>
      </c>
      <c r="M128" s="1">
        <v>305671</v>
      </c>
      <c r="Z128" s="2">
        <v>44467</v>
      </c>
      <c r="AA128" s="1">
        <f>INDEX($A:$M, MATCH(Z128, $A:$A, 0), MATCH($AA$1, $A$1:$M$1, 0))</f>
        <v>4397</v>
      </c>
      <c r="AB128" s="1">
        <f>INDEX(A:M, MATCH(Z128, A:A, 0), MATCH(AB127, A127:M127, 0))</f>
        <v>3424.8999020000001</v>
      </c>
    </row>
    <row r="129" spans="1:28" x14ac:dyDescent="0.3">
      <c r="A129" s="2">
        <v>44468</v>
      </c>
      <c r="B129" s="1">
        <v>3365</v>
      </c>
      <c r="C129" s="1">
        <v>3381.6999510000001</v>
      </c>
      <c r="D129" s="1">
        <v>3310</v>
      </c>
      <c r="E129" s="1">
        <v>3323.0500489999999</v>
      </c>
      <c r="F129" s="1">
        <v>3319.130615</v>
      </c>
      <c r="G129" s="1">
        <v>973387</v>
      </c>
      <c r="H129" s="1">
        <v>4316</v>
      </c>
      <c r="I129" s="1">
        <v>4395.9501950000003</v>
      </c>
      <c r="J129" s="1">
        <v>4202</v>
      </c>
      <c r="K129" s="1">
        <v>4251.2001950000003</v>
      </c>
      <c r="L129" s="1">
        <v>4251.2001950000003</v>
      </c>
      <c r="M129" s="1">
        <v>377254</v>
      </c>
      <c r="Z129" s="2">
        <v>44468</v>
      </c>
      <c r="AA129" s="1">
        <f>INDEX($A:$M, MATCH(Z129, $A:$A, 0), MATCH($AA$1, $A$1:$M$1, 0))</f>
        <v>4316</v>
      </c>
      <c r="AB129" s="1">
        <f>INDEX(A:M, MATCH(Z129, A:A, 0), MATCH(AB128, A128:M128, 0))</f>
        <v>3365</v>
      </c>
    </row>
    <row r="130" spans="1:28" x14ac:dyDescent="0.3">
      <c r="A130" s="2">
        <v>44469</v>
      </c>
      <c r="B130" s="1">
        <v>3329.8999020000001</v>
      </c>
      <c r="C130" s="1">
        <v>3347.6999510000001</v>
      </c>
      <c r="D130" s="1">
        <v>3220</v>
      </c>
      <c r="E130" s="1">
        <v>3244.6499020000001</v>
      </c>
      <c r="F130" s="1">
        <v>3240.8229980000001</v>
      </c>
      <c r="G130" s="1">
        <v>2077896</v>
      </c>
      <c r="H130" s="1">
        <v>4259.75</v>
      </c>
      <c r="I130" s="1">
        <v>4310</v>
      </c>
      <c r="J130" s="1">
        <v>4205.25</v>
      </c>
      <c r="K130" s="1">
        <v>4250.2001950000003</v>
      </c>
      <c r="L130" s="1">
        <v>4250.2001950000003</v>
      </c>
      <c r="M130" s="1">
        <v>339960</v>
      </c>
      <c r="Z130" s="2">
        <v>44469</v>
      </c>
      <c r="AA130" s="1">
        <f>INDEX($A:$M, MATCH(Z130, $A:$A, 0), MATCH($AA$1, $A$1:$M$1, 0))</f>
        <v>4259.75</v>
      </c>
      <c r="AB130" s="1">
        <f>INDEX(A:M, MATCH(Z130, A:A, 0), MATCH(AB129, A129:M129, 0))</f>
        <v>3329.8999020000001</v>
      </c>
    </row>
    <row r="131" spans="1:28" x14ac:dyDescent="0.3">
      <c r="A131" s="2">
        <v>44470</v>
      </c>
      <c r="B131" s="1">
        <v>3248</v>
      </c>
      <c r="C131" s="1">
        <v>3252.9499510000001</v>
      </c>
      <c r="D131" s="1">
        <v>3170</v>
      </c>
      <c r="E131" s="1">
        <v>3177.8500979999999</v>
      </c>
      <c r="F131" s="1">
        <v>3174.1020509999998</v>
      </c>
      <c r="G131" s="1">
        <v>1512332</v>
      </c>
      <c r="H131" s="1">
        <v>4250</v>
      </c>
      <c r="I131" s="1">
        <v>4284.2001950000003</v>
      </c>
      <c r="J131" s="1">
        <v>4220.1000979999999</v>
      </c>
      <c r="K131" s="1">
        <v>4235.6000979999999</v>
      </c>
      <c r="L131" s="1">
        <v>4235.6000979999999</v>
      </c>
      <c r="M131" s="1">
        <v>203932</v>
      </c>
      <c r="Z131" s="2">
        <v>44470</v>
      </c>
      <c r="AA131" s="1">
        <f>INDEX($A:$M, MATCH(Z131, $A:$A, 0), MATCH($AA$1, $A$1:$M$1, 0))</f>
        <v>4250</v>
      </c>
      <c r="AB131" s="1">
        <f>INDEX(A:M, MATCH(Z131, A:A, 0), MATCH(AB130, A130:M130, 0))</f>
        <v>3248</v>
      </c>
    </row>
    <row r="132" spans="1:28" x14ac:dyDescent="0.3">
      <c r="A132" s="2">
        <v>44473</v>
      </c>
      <c r="B132" s="1">
        <v>3202.8000489999999</v>
      </c>
      <c r="C132" s="1">
        <v>3230.5</v>
      </c>
      <c r="D132" s="1">
        <v>3178</v>
      </c>
      <c r="E132" s="1">
        <v>3201.6000979999999</v>
      </c>
      <c r="F132" s="1">
        <v>3197.8239749999998</v>
      </c>
      <c r="G132" s="1">
        <v>921241</v>
      </c>
      <c r="H132" s="1">
        <v>4393.9501950000003</v>
      </c>
      <c r="I132" s="1">
        <v>4464.3500979999999</v>
      </c>
      <c r="J132" s="1">
        <v>4232.2001950000003</v>
      </c>
      <c r="K132" s="1">
        <v>4257.3500979999999</v>
      </c>
      <c r="L132" s="1">
        <v>4257.3500979999999</v>
      </c>
      <c r="M132" s="1">
        <v>906261</v>
      </c>
      <c r="Z132" s="2">
        <v>44473</v>
      </c>
      <c r="AA132" s="1">
        <f>INDEX($A:$M, MATCH(Z132, $A:$A, 0), MATCH($AA$1, $A$1:$M$1, 0))</f>
        <v>4393.9501950000003</v>
      </c>
      <c r="AB132" s="1">
        <f>INDEX(A:M, MATCH(Z132, A:A, 0), MATCH(AB131, A131:M131, 0))</f>
        <v>3202.8000489999999</v>
      </c>
    </row>
    <row r="133" spans="1:28" x14ac:dyDescent="0.3">
      <c r="A133" s="2">
        <v>44474</v>
      </c>
      <c r="B133" s="1">
        <v>3208.5500489999999</v>
      </c>
      <c r="C133" s="1">
        <v>3260</v>
      </c>
      <c r="D133" s="1">
        <v>3191.6499020000001</v>
      </c>
      <c r="E133" s="1">
        <v>3254.75</v>
      </c>
      <c r="F133" s="1">
        <v>3250.9111330000001</v>
      </c>
      <c r="G133" s="1">
        <v>909337</v>
      </c>
      <c r="H133" s="1">
        <v>4284</v>
      </c>
      <c r="I133" s="1">
        <v>4284</v>
      </c>
      <c r="J133" s="1">
        <v>4246.8500979999999</v>
      </c>
      <c r="K133" s="1">
        <v>4257.2998049999997</v>
      </c>
      <c r="L133" s="1">
        <v>4257.2998049999997</v>
      </c>
      <c r="M133" s="1">
        <v>242566</v>
      </c>
      <c r="Z133" s="2">
        <v>44474</v>
      </c>
      <c r="AA133" s="1">
        <f>INDEX($A:$M, MATCH(Z133, $A:$A, 0), MATCH($AA$1, $A$1:$M$1, 0))</f>
        <v>4284</v>
      </c>
      <c r="AB133" s="1">
        <f>INDEX(A:M, MATCH(Z133, A:A, 0), MATCH(AB132, A132:M132, 0))</f>
        <v>3208.5500489999999</v>
      </c>
    </row>
    <row r="134" spans="1:28" x14ac:dyDescent="0.3">
      <c r="A134" s="2">
        <v>44475</v>
      </c>
      <c r="B134" s="1">
        <v>3262</v>
      </c>
      <c r="C134" s="1">
        <v>3280</v>
      </c>
      <c r="D134" s="1">
        <v>3200.6499020000001</v>
      </c>
      <c r="E134" s="1">
        <v>3212.25</v>
      </c>
      <c r="F134" s="1">
        <v>3208.461182</v>
      </c>
      <c r="G134" s="1">
        <v>786378</v>
      </c>
      <c r="H134" s="1">
        <v>4292.1499020000001</v>
      </c>
      <c r="I134" s="1">
        <v>4295</v>
      </c>
      <c r="J134" s="1">
        <v>4205</v>
      </c>
      <c r="K134" s="1">
        <v>4218.5498049999997</v>
      </c>
      <c r="L134" s="1">
        <v>4218.5498049999997</v>
      </c>
      <c r="M134" s="1">
        <v>301394</v>
      </c>
      <c r="Z134" s="2">
        <v>44475</v>
      </c>
      <c r="AA134" s="1">
        <f>INDEX($A:$M, MATCH(Z134, $A:$A, 0), MATCH($AA$1, $A$1:$M$1, 0))</f>
        <v>4292.1499020000001</v>
      </c>
      <c r="AB134" s="1">
        <f>INDEX(A:M, MATCH(Z134, A:A, 0), MATCH(AB133, A133:M133, 0))</f>
        <v>3262</v>
      </c>
    </row>
    <row r="135" spans="1:28" x14ac:dyDescent="0.3">
      <c r="A135" s="2">
        <v>44476</v>
      </c>
      <c r="B135" s="1">
        <v>3220</v>
      </c>
      <c r="C135" s="1">
        <v>3318</v>
      </c>
      <c r="D135" s="1">
        <v>3220</v>
      </c>
      <c r="E135" s="1">
        <v>3290.8500979999999</v>
      </c>
      <c r="F135" s="1">
        <v>3286.96875</v>
      </c>
      <c r="G135" s="1">
        <v>1177283</v>
      </c>
      <c r="H135" s="1">
        <v>4254.9501950000003</v>
      </c>
      <c r="I135" s="1">
        <v>4337</v>
      </c>
      <c r="J135" s="1">
        <v>4251</v>
      </c>
      <c r="K135" s="1">
        <v>4311.7001950000003</v>
      </c>
      <c r="L135" s="1">
        <v>4311.7001950000003</v>
      </c>
      <c r="M135" s="1">
        <v>570321</v>
      </c>
      <c r="Z135" s="2">
        <v>44476</v>
      </c>
      <c r="AA135" s="1">
        <f>INDEX($A:$M, MATCH(Z135, $A:$A, 0), MATCH($AA$1, $A$1:$M$1, 0))</f>
        <v>4254.9501950000003</v>
      </c>
      <c r="AB135" s="1">
        <f>INDEX(A:M, MATCH(Z135, A:A, 0), MATCH(AB134, A134:M134, 0))</f>
        <v>3220</v>
      </c>
    </row>
    <row r="136" spans="1:28" x14ac:dyDescent="0.3">
      <c r="A136" s="2">
        <v>44477</v>
      </c>
      <c r="B136" s="1">
        <v>3307</v>
      </c>
      <c r="C136" s="1">
        <v>3329</v>
      </c>
      <c r="D136" s="1">
        <v>3264.1000979999999</v>
      </c>
      <c r="E136" s="1">
        <v>3306.8999020000001</v>
      </c>
      <c r="F136" s="1">
        <v>3302.9995119999999</v>
      </c>
      <c r="G136" s="1">
        <v>882436</v>
      </c>
      <c r="H136" s="1">
        <v>4326.3999020000001</v>
      </c>
      <c r="I136" s="1">
        <v>4421.9501950000003</v>
      </c>
      <c r="J136" s="1">
        <v>4299.0498049999997</v>
      </c>
      <c r="K136" s="1">
        <v>4407.9501950000003</v>
      </c>
      <c r="L136" s="1">
        <v>4407.9501950000003</v>
      </c>
      <c r="M136" s="1">
        <v>314758</v>
      </c>
      <c r="Z136" s="2">
        <v>44477</v>
      </c>
      <c r="AA136" s="1">
        <f>INDEX($A:$M, MATCH(Z136, $A:$A, 0), MATCH($AA$1, $A$1:$M$1, 0))</f>
        <v>4326.3999020000001</v>
      </c>
      <c r="AB136" s="1">
        <f>INDEX(A:M, MATCH(Z136, A:A, 0), MATCH(AB135, A135:M135, 0))</f>
        <v>3307</v>
      </c>
    </row>
    <row r="137" spans="1:28" x14ac:dyDescent="0.3">
      <c r="A137" s="2">
        <v>44480</v>
      </c>
      <c r="B137" s="1">
        <v>3326.3999020000001</v>
      </c>
      <c r="C137" s="1">
        <v>3344.3500979999999</v>
      </c>
      <c r="D137" s="1">
        <v>3297.75</v>
      </c>
      <c r="E137" s="1">
        <v>3306.0500489999999</v>
      </c>
      <c r="F137" s="1">
        <v>3302.150635</v>
      </c>
      <c r="G137" s="1">
        <v>460197</v>
      </c>
      <c r="H137" s="1">
        <v>4438</v>
      </c>
      <c r="I137" s="1">
        <v>4840</v>
      </c>
      <c r="J137" s="1">
        <v>4407</v>
      </c>
      <c r="K137" s="1">
        <v>4719.4501950000003</v>
      </c>
      <c r="L137" s="1">
        <v>4719.4501950000003</v>
      </c>
      <c r="M137" s="1">
        <v>1017160</v>
      </c>
      <c r="Z137" s="2">
        <v>44480</v>
      </c>
      <c r="AA137" s="1">
        <f>INDEX($A:$M, MATCH(Z137, $A:$A, 0), MATCH($AA$1, $A$1:$M$1, 0))</f>
        <v>4438</v>
      </c>
      <c r="AB137" s="1">
        <f>INDEX(A:M, MATCH(Z137, A:A, 0), MATCH(AB136, A136:M136, 0))</f>
        <v>3326.3999020000001</v>
      </c>
    </row>
    <row r="138" spans="1:28" x14ac:dyDescent="0.3">
      <c r="A138" s="2">
        <v>44481</v>
      </c>
      <c r="B138" s="1">
        <v>3280</v>
      </c>
      <c r="C138" s="1">
        <v>3335</v>
      </c>
      <c r="D138" s="1">
        <v>3280</v>
      </c>
      <c r="E138" s="1">
        <v>3323.25</v>
      </c>
      <c r="F138" s="1">
        <v>3319.3303219999998</v>
      </c>
      <c r="G138" s="1">
        <v>564524</v>
      </c>
      <c r="H138" s="1">
        <v>4780</v>
      </c>
      <c r="I138" s="1">
        <v>4895</v>
      </c>
      <c r="J138" s="1">
        <v>4718.8500979999999</v>
      </c>
      <c r="K138" s="1">
        <v>4739</v>
      </c>
      <c r="L138" s="1">
        <v>4739</v>
      </c>
      <c r="M138" s="1">
        <v>817027</v>
      </c>
      <c r="Z138" s="2">
        <v>44481</v>
      </c>
      <c r="AA138" s="1">
        <f>INDEX($A:$M, MATCH(Z138, $A:$A, 0), MATCH($AA$1, $A$1:$M$1, 0))</f>
        <v>4780</v>
      </c>
      <c r="AB138" s="1">
        <f>INDEX(A:M, MATCH(Z138, A:A, 0), MATCH(AB137, A137:M137, 0))</f>
        <v>3280</v>
      </c>
    </row>
    <row r="139" spans="1:28" x14ac:dyDescent="0.3">
      <c r="A139" s="2">
        <v>44482</v>
      </c>
      <c r="B139" s="1">
        <v>3343</v>
      </c>
      <c r="C139" s="1">
        <v>3358.8999020000001</v>
      </c>
      <c r="D139" s="1">
        <v>3291.3999020000001</v>
      </c>
      <c r="E139" s="1">
        <v>3323.5</v>
      </c>
      <c r="F139" s="1">
        <v>3319.580078</v>
      </c>
      <c r="G139" s="1">
        <v>770144</v>
      </c>
      <c r="H139" s="1">
        <v>4777</v>
      </c>
      <c r="I139" s="1">
        <v>5595</v>
      </c>
      <c r="J139" s="1">
        <v>4760.25</v>
      </c>
      <c r="K139" s="1">
        <v>5117.1499020000001</v>
      </c>
      <c r="L139" s="1">
        <v>5117.1499020000001</v>
      </c>
      <c r="M139" s="1">
        <v>2593684</v>
      </c>
      <c r="Z139" s="2">
        <v>44482</v>
      </c>
      <c r="AA139" s="1">
        <f>INDEX($A:$M, MATCH(Z139, $A:$A, 0), MATCH($AA$1, $A$1:$M$1, 0))</f>
        <v>4777</v>
      </c>
      <c r="AB139" s="1">
        <f>INDEX(A:M, MATCH(Z139, A:A, 0), MATCH(AB138, A138:M138, 0))</f>
        <v>3343</v>
      </c>
    </row>
    <row r="140" spans="1:28" x14ac:dyDescent="0.3">
      <c r="A140" s="2">
        <v>44483</v>
      </c>
      <c r="B140" s="1">
        <v>3342</v>
      </c>
      <c r="C140" s="1">
        <v>3352.9499510000001</v>
      </c>
      <c r="D140" s="1">
        <v>3290</v>
      </c>
      <c r="E140" s="1">
        <v>3297.8000489999999</v>
      </c>
      <c r="F140" s="1">
        <v>3293.9104000000002</v>
      </c>
      <c r="G140" s="1">
        <v>648597</v>
      </c>
      <c r="H140" s="1">
        <v>5194</v>
      </c>
      <c r="I140" s="1">
        <v>5420</v>
      </c>
      <c r="J140" s="1">
        <v>5180.0498049999997</v>
      </c>
      <c r="K140" s="1">
        <v>5323.75</v>
      </c>
      <c r="L140" s="1">
        <v>5323.75</v>
      </c>
      <c r="M140" s="1">
        <v>1187904</v>
      </c>
      <c r="Z140" s="2">
        <v>44483</v>
      </c>
      <c r="AA140" s="1">
        <f>INDEX($A:$M, MATCH(Z140, $A:$A, 0), MATCH($AA$1, $A$1:$M$1, 0))</f>
        <v>5194</v>
      </c>
      <c r="AB140" s="1">
        <f>INDEX(A:M, MATCH(Z140, A:A, 0), MATCH(AB139, A139:M139, 0))</f>
        <v>3342</v>
      </c>
    </row>
    <row r="141" spans="1:28" x14ac:dyDescent="0.3">
      <c r="A141" s="2">
        <v>44487</v>
      </c>
      <c r="B141" s="1">
        <v>3252.5</v>
      </c>
      <c r="C141" s="1">
        <v>3283.9499510000001</v>
      </c>
      <c r="D141" s="1">
        <v>3232</v>
      </c>
      <c r="E141" s="1">
        <v>3241.5</v>
      </c>
      <c r="F141" s="1">
        <v>3237.6767580000001</v>
      </c>
      <c r="G141" s="1">
        <v>1576121</v>
      </c>
      <c r="H141" s="1">
        <v>5599</v>
      </c>
      <c r="I141" s="1">
        <v>5900</v>
      </c>
      <c r="J141" s="1">
        <v>4851.1000979999999</v>
      </c>
      <c r="K141" s="1">
        <v>4897.7998049999997</v>
      </c>
      <c r="L141" s="1">
        <v>4897.7998049999997</v>
      </c>
      <c r="M141" s="1">
        <v>4748382</v>
      </c>
      <c r="Z141" s="2">
        <v>44487</v>
      </c>
      <c r="AA141" s="1">
        <f>INDEX($A:$M, MATCH(Z141, $A:$A, 0), MATCH($AA$1, $A$1:$M$1, 0))</f>
        <v>5599</v>
      </c>
      <c r="AB141" s="1">
        <f>INDEX(A:M, MATCH(Z141, A:A, 0), MATCH(AB140, A140:M140, 0))</f>
        <v>3252.5</v>
      </c>
    </row>
    <row r="142" spans="1:28" x14ac:dyDescent="0.3">
      <c r="A142" s="2">
        <v>44488</v>
      </c>
      <c r="B142" s="1">
        <v>3260.8999020000001</v>
      </c>
      <c r="C142" s="1">
        <v>3269.1000979999999</v>
      </c>
      <c r="D142" s="1">
        <v>3176.1000979999999</v>
      </c>
      <c r="E142" s="1">
        <v>3183.75</v>
      </c>
      <c r="F142" s="1">
        <v>3179.9948730000001</v>
      </c>
      <c r="G142" s="1">
        <v>1042069</v>
      </c>
      <c r="H142" s="1">
        <v>5000</v>
      </c>
      <c r="I142" s="1">
        <v>5100</v>
      </c>
      <c r="J142" s="1">
        <v>4725</v>
      </c>
      <c r="K142" s="1">
        <v>4754.5498049999997</v>
      </c>
      <c r="L142" s="1">
        <v>4754.5498049999997</v>
      </c>
      <c r="M142" s="1">
        <v>1804742</v>
      </c>
      <c r="Z142" s="2">
        <v>44488</v>
      </c>
      <c r="AA142" s="1">
        <f>INDEX($A:$M, MATCH(Z142, $A:$A, 0), MATCH($AA$1, $A$1:$M$1, 0))</f>
        <v>5000</v>
      </c>
      <c r="AB142" s="1">
        <f>INDEX(A:M, MATCH(Z142, A:A, 0), MATCH(AB141, A141:M141, 0))</f>
        <v>3260.8999020000001</v>
      </c>
    </row>
    <row r="143" spans="1:28" x14ac:dyDescent="0.3">
      <c r="A143" s="2">
        <v>44489</v>
      </c>
      <c r="B143" s="1">
        <v>3190</v>
      </c>
      <c r="C143" s="1">
        <v>3219.9499510000001</v>
      </c>
      <c r="D143" s="1">
        <v>3136.6499020000001</v>
      </c>
      <c r="E143" s="1">
        <v>3169.6000979999999</v>
      </c>
      <c r="F143" s="1">
        <v>3165.8615719999998</v>
      </c>
      <c r="G143" s="1">
        <v>1205540</v>
      </c>
      <c r="H143" s="1">
        <v>4789</v>
      </c>
      <c r="I143" s="1">
        <v>4860</v>
      </c>
      <c r="J143" s="1">
        <v>4470.25</v>
      </c>
      <c r="K143" s="1">
        <v>4596.3999020000001</v>
      </c>
      <c r="L143" s="1">
        <v>4596.3999020000001</v>
      </c>
      <c r="M143" s="1">
        <v>1677557</v>
      </c>
      <c r="Z143" s="2">
        <v>44489</v>
      </c>
      <c r="AA143" s="1">
        <f>INDEX($A:$M, MATCH(Z143, $A:$A, 0), MATCH($AA$1, $A$1:$M$1, 0))</f>
        <v>4789</v>
      </c>
      <c r="AB143" s="1">
        <f>INDEX(A:M, MATCH(Z143, A:A, 0), MATCH(AB142, A142:M142, 0))</f>
        <v>3190</v>
      </c>
    </row>
    <row r="144" spans="1:28" x14ac:dyDescent="0.3">
      <c r="A144" s="2">
        <v>44490</v>
      </c>
      <c r="B144" s="1">
        <v>3194</v>
      </c>
      <c r="C144" s="1">
        <v>3195.4499510000001</v>
      </c>
      <c r="D144" s="1">
        <v>2920.4499510000001</v>
      </c>
      <c r="E144" s="1">
        <v>3002</v>
      </c>
      <c r="F144" s="1">
        <v>2998.4592290000001</v>
      </c>
      <c r="G144" s="1">
        <v>5103543</v>
      </c>
      <c r="H144" s="1">
        <v>4650</v>
      </c>
      <c r="I144" s="1">
        <v>4699.5</v>
      </c>
      <c r="J144" s="1">
        <v>4500</v>
      </c>
      <c r="K144" s="1">
        <v>4521.25</v>
      </c>
      <c r="L144" s="1">
        <v>4521.25</v>
      </c>
      <c r="M144" s="1">
        <v>1028678</v>
      </c>
      <c r="Z144" s="2">
        <v>44490</v>
      </c>
      <c r="AA144" s="1">
        <f>INDEX($A:$M, MATCH(Z144, $A:$A, 0), MATCH($AA$1, $A$1:$M$1, 0))</f>
        <v>4650</v>
      </c>
      <c r="AB144" s="1">
        <f>INDEX(A:M, MATCH(Z144, A:A, 0), MATCH(AB143, A143:M143, 0))</f>
        <v>3194</v>
      </c>
    </row>
    <row r="145" spans="1:28" x14ac:dyDescent="0.3">
      <c r="A145" s="2">
        <v>44491</v>
      </c>
      <c r="B145" s="1">
        <v>2975</v>
      </c>
      <c r="C145" s="1">
        <v>3002.9499510000001</v>
      </c>
      <c r="D145" s="1">
        <v>2912.1499020000001</v>
      </c>
      <c r="E145" s="1">
        <v>2982.3999020000001</v>
      </c>
      <c r="F145" s="1">
        <v>2978.8823240000002</v>
      </c>
      <c r="G145" s="1">
        <v>2855592</v>
      </c>
      <c r="H145" s="1">
        <v>4559</v>
      </c>
      <c r="I145" s="1">
        <v>4560</v>
      </c>
      <c r="J145" s="1">
        <v>4482</v>
      </c>
      <c r="K145" s="1">
        <v>4521.4501950000003</v>
      </c>
      <c r="L145" s="1">
        <v>4521.4501950000003</v>
      </c>
      <c r="M145" s="1">
        <v>739603</v>
      </c>
      <c r="Z145" s="2">
        <v>44491</v>
      </c>
      <c r="AA145" s="1">
        <f>INDEX($A:$M, MATCH(Z145, $A:$A, 0), MATCH($AA$1, $A$1:$M$1, 0))</f>
        <v>4559</v>
      </c>
      <c r="AB145" s="1">
        <f>INDEX(A:M, MATCH(Z145, A:A, 0), MATCH(AB144, A144:M144, 0))</f>
        <v>2975</v>
      </c>
    </row>
    <row r="146" spans="1:28" x14ac:dyDescent="0.3">
      <c r="A146" s="2">
        <v>44494</v>
      </c>
      <c r="B146" s="1">
        <v>2950</v>
      </c>
      <c r="C146" s="1">
        <v>2950</v>
      </c>
      <c r="D146" s="1">
        <v>2857.25</v>
      </c>
      <c r="E146" s="1">
        <v>2918.0500489999999</v>
      </c>
      <c r="F146" s="1">
        <v>2914.6083979999999</v>
      </c>
      <c r="G146" s="1">
        <v>2161537</v>
      </c>
      <c r="H146" s="1">
        <v>4534.2998049999997</v>
      </c>
      <c r="I146" s="1">
        <v>4550</v>
      </c>
      <c r="J146" s="1">
        <v>4351</v>
      </c>
      <c r="K146" s="1">
        <v>4400.6000979999999</v>
      </c>
      <c r="L146" s="1">
        <v>4400.6000979999999</v>
      </c>
      <c r="M146" s="1">
        <v>591416</v>
      </c>
      <c r="Z146" s="2">
        <v>44494</v>
      </c>
      <c r="AA146" s="1">
        <f>INDEX($A:$M, MATCH(Z146, $A:$A, 0), MATCH($AA$1, $A$1:$M$1, 0))</f>
        <v>4534.2998049999997</v>
      </c>
      <c r="AB146" s="1">
        <f>INDEX(A:M, MATCH(Z146, A:A, 0), MATCH(AB145, A145:M145, 0))</f>
        <v>2950</v>
      </c>
    </row>
    <row r="147" spans="1:28" x14ac:dyDescent="0.3">
      <c r="A147" s="2">
        <v>44495</v>
      </c>
      <c r="B147" s="1">
        <v>2918.0500489999999</v>
      </c>
      <c r="C147" s="1">
        <v>3024</v>
      </c>
      <c r="D147" s="1">
        <v>2898</v>
      </c>
      <c r="E147" s="1">
        <v>2969.8000489999999</v>
      </c>
      <c r="F147" s="1">
        <v>2966.2973630000001</v>
      </c>
      <c r="G147" s="1">
        <v>1988263</v>
      </c>
      <c r="H147" s="1">
        <v>4419</v>
      </c>
      <c r="I147" s="1">
        <v>4599</v>
      </c>
      <c r="J147" s="1">
        <v>4365</v>
      </c>
      <c r="K147" s="1">
        <v>4568.5</v>
      </c>
      <c r="L147" s="1">
        <v>4568.5</v>
      </c>
      <c r="M147" s="1">
        <v>637834</v>
      </c>
      <c r="Z147" s="2">
        <v>44495</v>
      </c>
      <c r="AA147" s="1">
        <f>INDEX($A:$M, MATCH(Z147, $A:$A, 0), MATCH($AA$1, $A$1:$M$1, 0))</f>
        <v>4419</v>
      </c>
      <c r="AB147" s="1">
        <f>INDEX(A:M, MATCH(Z147, A:A, 0), MATCH(AB146, A146:M146, 0))</f>
        <v>2918.0500489999999</v>
      </c>
    </row>
    <row r="148" spans="1:28" x14ac:dyDescent="0.3">
      <c r="A148" s="2">
        <v>44496</v>
      </c>
      <c r="B148" s="1">
        <v>3029.1999510000001</v>
      </c>
      <c r="C148" s="1">
        <v>3145</v>
      </c>
      <c r="D148" s="1">
        <v>3029.1999510000001</v>
      </c>
      <c r="E148" s="1">
        <v>3094.6499020000001</v>
      </c>
      <c r="F148" s="1">
        <v>3091</v>
      </c>
      <c r="G148" s="1">
        <v>4609951</v>
      </c>
      <c r="H148" s="1">
        <v>4600</v>
      </c>
      <c r="I148" s="1">
        <v>4770</v>
      </c>
      <c r="J148" s="1">
        <v>4591.5498049999997</v>
      </c>
      <c r="K148" s="1">
        <v>4733</v>
      </c>
      <c r="L148" s="1">
        <v>4733</v>
      </c>
      <c r="M148" s="1">
        <v>762605</v>
      </c>
      <c r="Z148" s="2">
        <v>44496</v>
      </c>
      <c r="AA148" s="1">
        <f>INDEX($A:$M, MATCH(Z148, $A:$A, 0), MATCH($AA$1, $A$1:$M$1, 0))</f>
        <v>4600</v>
      </c>
      <c r="AB148" s="1">
        <f>INDEX(A:M, MATCH(Z148, A:A, 0), MATCH(AB147, A147:M147, 0))</f>
        <v>3029.1999510000001</v>
      </c>
    </row>
    <row r="149" spans="1:28" x14ac:dyDescent="0.3">
      <c r="A149" s="2">
        <v>44497</v>
      </c>
      <c r="B149" s="1">
        <v>3103</v>
      </c>
      <c r="C149" s="1">
        <v>3147.6000979999999</v>
      </c>
      <c r="D149" s="1">
        <v>3062</v>
      </c>
      <c r="E149" s="1">
        <v>3116.3000489999999</v>
      </c>
      <c r="F149" s="1">
        <v>3116.3000489999999</v>
      </c>
      <c r="G149" s="1">
        <v>1791065</v>
      </c>
      <c r="H149" s="1">
        <v>4748</v>
      </c>
      <c r="I149" s="1">
        <v>4776.8500979999999</v>
      </c>
      <c r="J149" s="1">
        <v>4620</v>
      </c>
      <c r="K149" s="1">
        <v>4675.6499020000001</v>
      </c>
      <c r="L149" s="1">
        <v>4675.6499020000001</v>
      </c>
      <c r="M149" s="1">
        <v>375073</v>
      </c>
      <c r="Z149" s="2">
        <v>44497</v>
      </c>
      <c r="AA149" s="1">
        <f>INDEX($A:$M, MATCH(Z149, $A:$A, 0), MATCH($AA$1, $A$1:$M$1, 0))</f>
        <v>4748</v>
      </c>
      <c r="AB149" s="1">
        <f>INDEX(A:M, MATCH(Z149, A:A, 0), MATCH(AB148, A148:M148, 0))</f>
        <v>3103</v>
      </c>
    </row>
    <row r="150" spans="1:28" x14ac:dyDescent="0.3">
      <c r="A150" s="2">
        <v>44498</v>
      </c>
      <c r="B150" s="1">
        <v>3125</v>
      </c>
      <c r="C150" s="1">
        <v>3144.6999510000001</v>
      </c>
      <c r="D150" s="1">
        <v>3083.3000489999999</v>
      </c>
      <c r="E150" s="1">
        <v>3100.1000979999999</v>
      </c>
      <c r="F150" s="1">
        <v>3100.1000979999999</v>
      </c>
      <c r="G150" s="1">
        <v>1118903</v>
      </c>
      <c r="H150" s="1">
        <v>4669</v>
      </c>
      <c r="I150" s="1">
        <v>4725</v>
      </c>
      <c r="J150" s="1">
        <v>4561.1499020000001</v>
      </c>
      <c r="K150" s="1">
        <v>4635.4501950000003</v>
      </c>
      <c r="L150" s="1">
        <v>4635.4501950000003</v>
      </c>
      <c r="M150" s="1">
        <v>437818</v>
      </c>
      <c r="Z150" s="2">
        <v>44498</v>
      </c>
      <c r="AA150" s="1">
        <f>INDEX($A:$M, MATCH(Z150, $A:$A, 0), MATCH($AA$1, $A$1:$M$1, 0))</f>
        <v>4669</v>
      </c>
      <c r="AB150" s="1">
        <f>INDEX(A:M, MATCH(Z150, A:A, 0), MATCH(AB149, A149:M149, 0))</f>
        <v>3125</v>
      </c>
    </row>
    <row r="151" spans="1:28" x14ac:dyDescent="0.3">
      <c r="A151" s="2">
        <v>44501</v>
      </c>
      <c r="B151" s="1">
        <v>3128</v>
      </c>
      <c r="C151" s="1">
        <v>3142.25</v>
      </c>
      <c r="D151" s="1">
        <v>3091.6499020000001</v>
      </c>
      <c r="E151" s="1">
        <v>3121.8000489999999</v>
      </c>
      <c r="F151" s="1">
        <v>3121.8000489999999</v>
      </c>
      <c r="G151" s="1">
        <v>750393</v>
      </c>
      <c r="H151" s="1">
        <v>4670</v>
      </c>
      <c r="I151" s="1">
        <v>4708</v>
      </c>
      <c r="J151" s="1">
        <v>4550</v>
      </c>
      <c r="K151" s="1">
        <v>4564.75</v>
      </c>
      <c r="L151" s="1">
        <v>4564.75</v>
      </c>
      <c r="M151" s="1">
        <v>392446</v>
      </c>
      <c r="Z151" s="2">
        <v>44501</v>
      </c>
      <c r="AA151" s="1">
        <f>INDEX($A:$M, MATCH(Z151, $A:$A, 0), MATCH($AA$1, $A$1:$M$1, 0))</f>
        <v>4670</v>
      </c>
      <c r="AB151" s="1">
        <f>INDEX(A:M, MATCH(Z151, A:A, 0), MATCH(AB150, A150:M150, 0))</f>
        <v>3128</v>
      </c>
    </row>
    <row r="152" spans="1:28" x14ac:dyDescent="0.3">
      <c r="A152" s="2">
        <v>44502</v>
      </c>
      <c r="B152" s="1">
        <v>3120</v>
      </c>
      <c r="C152" s="1">
        <v>3139.8000489999999</v>
      </c>
      <c r="D152" s="1">
        <v>3080</v>
      </c>
      <c r="E152" s="1">
        <v>3103.3500979999999</v>
      </c>
      <c r="F152" s="1">
        <v>3103.3500979999999</v>
      </c>
      <c r="G152" s="1">
        <v>881916</v>
      </c>
      <c r="H152" s="1">
        <v>4596.7001950000003</v>
      </c>
      <c r="I152" s="1">
        <v>4666.7998049999997</v>
      </c>
      <c r="J152" s="1">
        <v>4580</v>
      </c>
      <c r="K152" s="1">
        <v>4597.0498049999997</v>
      </c>
      <c r="L152" s="1">
        <v>4597.0498049999997</v>
      </c>
      <c r="M152" s="1">
        <v>304774</v>
      </c>
      <c r="Z152" s="2">
        <v>44502</v>
      </c>
      <c r="AA152" s="1">
        <f>INDEX($A:$M, MATCH(Z152, $A:$A, 0), MATCH($AA$1, $A$1:$M$1, 0))</f>
        <v>4596.7001950000003</v>
      </c>
      <c r="AB152" s="1">
        <f>INDEX(A:M, MATCH(Z152, A:A, 0), MATCH(AB151, A151:M151, 0))</f>
        <v>3120</v>
      </c>
    </row>
    <row r="153" spans="1:28" x14ac:dyDescent="0.3">
      <c r="A153" s="2">
        <v>44503</v>
      </c>
      <c r="B153" s="1">
        <v>3102.1000979999999</v>
      </c>
      <c r="C153" s="1">
        <v>3182.8999020000001</v>
      </c>
      <c r="D153" s="1">
        <v>3095</v>
      </c>
      <c r="E153" s="1">
        <v>3170.6499020000001</v>
      </c>
      <c r="F153" s="1">
        <v>3170.6499020000001</v>
      </c>
      <c r="G153" s="1">
        <v>879227</v>
      </c>
      <c r="H153" s="1">
        <v>4644</v>
      </c>
      <c r="I153" s="1">
        <v>4790</v>
      </c>
      <c r="J153" s="1">
        <v>4600</v>
      </c>
      <c r="K153" s="1">
        <v>4741.2998049999997</v>
      </c>
      <c r="L153" s="1">
        <v>4741.2998049999997</v>
      </c>
      <c r="M153" s="1">
        <v>462222</v>
      </c>
      <c r="Z153" s="2">
        <v>44503</v>
      </c>
      <c r="AA153" s="1">
        <f>INDEX($A:$M, MATCH(Z153, $A:$A, 0), MATCH($AA$1, $A$1:$M$1, 0))</f>
        <v>4644</v>
      </c>
      <c r="AB153" s="1">
        <f>INDEX(A:M, MATCH(Z153, A:A, 0), MATCH(AB152, A152:M152, 0))</f>
        <v>3102.1000979999999</v>
      </c>
    </row>
    <row r="154" spans="1:28" x14ac:dyDescent="0.3">
      <c r="A154" s="2">
        <v>44504</v>
      </c>
      <c r="B154" s="1">
        <v>3179</v>
      </c>
      <c r="C154" s="1">
        <v>3190</v>
      </c>
      <c r="D154" s="1">
        <v>3145</v>
      </c>
      <c r="E154" s="1">
        <v>3159.25</v>
      </c>
      <c r="F154" s="1">
        <v>3159.25</v>
      </c>
      <c r="G154" s="1">
        <v>263595</v>
      </c>
      <c r="H154" s="1">
        <v>4780</v>
      </c>
      <c r="I154" s="1">
        <v>4824.7998049999997</v>
      </c>
      <c r="J154" s="1">
        <v>4760.0498049999997</v>
      </c>
      <c r="K154" s="1">
        <v>4783.7001950000003</v>
      </c>
      <c r="L154" s="1">
        <v>4783.7001950000003</v>
      </c>
      <c r="M154" s="1">
        <v>136777</v>
      </c>
      <c r="Z154" s="2">
        <v>44504</v>
      </c>
      <c r="AA154" s="1">
        <f>INDEX($A:$M, MATCH(Z154, $A:$A, 0), MATCH($AA$1, $A$1:$M$1, 0))</f>
        <v>4780</v>
      </c>
      <c r="AB154" s="1">
        <f>INDEX(A:M, MATCH(Z154, A:A, 0), MATCH(AB153, A153:M153, 0))</f>
        <v>3179</v>
      </c>
    </row>
    <row r="155" spans="1:28" x14ac:dyDescent="0.3">
      <c r="A155" s="2">
        <v>44508</v>
      </c>
      <c r="B155" s="1">
        <v>3165</v>
      </c>
      <c r="C155" s="1">
        <v>3181</v>
      </c>
      <c r="D155" s="1">
        <v>3095.1499020000001</v>
      </c>
      <c r="E155" s="1">
        <v>3138</v>
      </c>
      <c r="F155" s="1">
        <v>3138</v>
      </c>
      <c r="G155" s="1">
        <v>787824</v>
      </c>
      <c r="H155" s="1">
        <v>4783</v>
      </c>
      <c r="I155" s="1">
        <v>4867.2998049999997</v>
      </c>
      <c r="J155" s="1">
        <v>4720</v>
      </c>
      <c r="K155" s="1">
        <v>4748.5</v>
      </c>
      <c r="L155" s="1">
        <v>4748.5</v>
      </c>
      <c r="M155" s="1">
        <v>340161</v>
      </c>
      <c r="Z155" s="2">
        <v>44508</v>
      </c>
      <c r="AA155" s="1">
        <f>INDEX($A:$M, MATCH(Z155, $A:$A, 0), MATCH($AA$1, $A$1:$M$1, 0))</f>
        <v>4783</v>
      </c>
      <c r="AB155" s="1">
        <f>INDEX(A:M, MATCH(Z155, A:A, 0), MATCH(AB154, A154:M154, 0))</f>
        <v>3165</v>
      </c>
    </row>
    <row r="156" spans="1:28" x14ac:dyDescent="0.3">
      <c r="A156" s="2">
        <v>44509</v>
      </c>
      <c r="B156" s="1">
        <v>3140</v>
      </c>
      <c r="C156" s="1">
        <v>3155</v>
      </c>
      <c r="D156" s="1">
        <v>3120</v>
      </c>
      <c r="E156" s="1">
        <v>3145.1499020000001</v>
      </c>
      <c r="F156" s="1">
        <v>3145.1499020000001</v>
      </c>
      <c r="G156" s="1">
        <v>668840</v>
      </c>
      <c r="H156" s="1">
        <v>4748</v>
      </c>
      <c r="I156" s="1">
        <v>4774.2998049999997</v>
      </c>
      <c r="J156" s="1">
        <v>4723.7001950000003</v>
      </c>
      <c r="K156" s="1">
        <v>4757.1499020000001</v>
      </c>
      <c r="L156" s="1">
        <v>4757.1499020000001</v>
      </c>
      <c r="M156" s="1">
        <v>180363</v>
      </c>
      <c r="Z156" s="2">
        <v>44509</v>
      </c>
      <c r="AA156" s="1">
        <f>INDEX($A:$M, MATCH(Z156, $A:$A, 0), MATCH($AA$1, $A$1:$M$1, 0))</f>
        <v>4748</v>
      </c>
      <c r="AB156" s="1">
        <f>INDEX(A:M, MATCH(Z156, A:A, 0), MATCH(AB155, A155:M155, 0))</f>
        <v>3140</v>
      </c>
    </row>
    <row r="157" spans="1:28" x14ac:dyDescent="0.3">
      <c r="A157" s="2">
        <v>44510</v>
      </c>
      <c r="B157" s="1">
        <v>3132</v>
      </c>
      <c r="C157" s="1">
        <v>3136.6499020000001</v>
      </c>
      <c r="D157" s="1">
        <v>3080.5</v>
      </c>
      <c r="E157" s="1">
        <v>3108.3000489999999</v>
      </c>
      <c r="F157" s="1">
        <v>3108.3000489999999</v>
      </c>
      <c r="G157" s="1">
        <v>872975</v>
      </c>
      <c r="H157" s="1">
        <v>4745</v>
      </c>
      <c r="I157" s="1">
        <v>5000</v>
      </c>
      <c r="J157" s="1">
        <v>4726</v>
      </c>
      <c r="K157" s="1">
        <v>4960.2998049999997</v>
      </c>
      <c r="L157" s="1">
        <v>4960.2998049999997</v>
      </c>
      <c r="M157" s="1">
        <v>1128493</v>
      </c>
      <c r="Z157" s="2">
        <v>44510</v>
      </c>
      <c r="AA157" s="1">
        <f>INDEX($A:$M, MATCH(Z157, $A:$A, 0), MATCH($AA$1, $A$1:$M$1, 0))</f>
        <v>4745</v>
      </c>
      <c r="AB157" s="1">
        <f>INDEX(A:M, MATCH(Z157, A:A, 0), MATCH(AB156, A156:M156, 0))</f>
        <v>3132</v>
      </c>
    </row>
    <row r="158" spans="1:28" x14ac:dyDescent="0.3">
      <c r="A158" s="2">
        <v>44511</v>
      </c>
      <c r="B158" s="1">
        <v>3090</v>
      </c>
      <c r="C158" s="1">
        <v>3106.6499020000001</v>
      </c>
      <c r="D158" s="1">
        <v>3052</v>
      </c>
      <c r="E158" s="1">
        <v>3063.5</v>
      </c>
      <c r="F158" s="1">
        <v>3063.5</v>
      </c>
      <c r="G158" s="1">
        <v>958143</v>
      </c>
      <c r="H158" s="1">
        <v>4960.2998049999997</v>
      </c>
      <c r="I158" s="1">
        <v>5040</v>
      </c>
      <c r="J158" s="1">
        <v>4901.1499020000001</v>
      </c>
      <c r="K158" s="1">
        <v>4997.75</v>
      </c>
      <c r="L158" s="1">
        <v>4997.75</v>
      </c>
      <c r="M158" s="1">
        <v>735028</v>
      </c>
      <c r="Z158" s="2">
        <v>44511</v>
      </c>
      <c r="AA158" s="1">
        <f>INDEX($A:$M, MATCH(Z158, $A:$A, 0), MATCH($AA$1, $A$1:$M$1, 0))</f>
        <v>4960.2998049999997</v>
      </c>
      <c r="AB158" s="1">
        <f>INDEX(A:M, MATCH(Z158, A:A, 0), MATCH(AB157, A157:M157, 0))</f>
        <v>3090</v>
      </c>
    </row>
    <row r="159" spans="1:28" x14ac:dyDescent="0.3">
      <c r="A159" s="2">
        <v>44512</v>
      </c>
      <c r="B159" s="1">
        <v>3089</v>
      </c>
      <c r="C159" s="1">
        <v>3128</v>
      </c>
      <c r="D159" s="1">
        <v>3075.8000489999999</v>
      </c>
      <c r="E159" s="1">
        <v>3122.8999020000001</v>
      </c>
      <c r="F159" s="1">
        <v>3122.8999020000001</v>
      </c>
      <c r="G159" s="1">
        <v>682344</v>
      </c>
      <c r="H159" s="1">
        <v>5044.9501950000003</v>
      </c>
      <c r="I159" s="1">
        <v>5097.6499020000001</v>
      </c>
      <c r="J159" s="1">
        <v>5026.9501950000003</v>
      </c>
      <c r="K159" s="1">
        <v>5078.5498049999997</v>
      </c>
      <c r="L159" s="1">
        <v>5078.5498049999997</v>
      </c>
      <c r="M159" s="1">
        <v>487061</v>
      </c>
      <c r="Z159" s="2">
        <v>44512</v>
      </c>
      <c r="AA159" s="1">
        <f>INDEX($A:$M, MATCH(Z159, $A:$A, 0), MATCH($AA$1, $A$1:$M$1, 0))</f>
        <v>5044.9501950000003</v>
      </c>
      <c r="AB159" s="1">
        <f>INDEX(A:M, MATCH(Z159, A:A, 0), MATCH(AB158, A158:M158, 0))</f>
        <v>3089</v>
      </c>
    </row>
    <row r="160" spans="1:28" x14ac:dyDescent="0.3">
      <c r="A160" s="2">
        <v>44515</v>
      </c>
      <c r="B160" s="1">
        <v>3126</v>
      </c>
      <c r="C160" s="1">
        <v>3180</v>
      </c>
      <c r="D160" s="1">
        <v>3126</v>
      </c>
      <c r="E160" s="1">
        <v>3168.6999510000001</v>
      </c>
      <c r="F160" s="1">
        <v>3168.6999510000001</v>
      </c>
      <c r="G160" s="1">
        <v>696377</v>
      </c>
      <c r="H160" s="1">
        <v>5075</v>
      </c>
      <c r="I160" s="1">
        <v>5075</v>
      </c>
      <c r="J160" s="1">
        <v>4980</v>
      </c>
      <c r="K160" s="1">
        <v>5023.2998049999997</v>
      </c>
      <c r="L160" s="1">
        <v>5023.2998049999997</v>
      </c>
      <c r="M160" s="1">
        <v>324397</v>
      </c>
      <c r="Z160" s="2">
        <v>44515</v>
      </c>
      <c r="AA160" s="1">
        <f>INDEX($A:$M, MATCH(Z160, $A:$A, 0), MATCH($AA$1, $A$1:$M$1, 0))</f>
        <v>5075</v>
      </c>
      <c r="AB160" s="1">
        <f>INDEX(A:M, MATCH(Z160, A:A, 0), MATCH(AB159, A159:M159, 0))</f>
        <v>3126</v>
      </c>
    </row>
    <row r="161" spans="1:28" x14ac:dyDescent="0.3">
      <c r="A161" s="2">
        <v>44516</v>
      </c>
      <c r="B161" s="1">
        <v>3165</v>
      </c>
      <c r="C161" s="1">
        <v>3209</v>
      </c>
      <c r="D161" s="1">
        <v>3120.1000979999999</v>
      </c>
      <c r="E161" s="1">
        <v>3151.6999510000001</v>
      </c>
      <c r="F161" s="1">
        <v>3151.6999510000001</v>
      </c>
      <c r="G161" s="1">
        <v>1400107</v>
      </c>
      <c r="H161" s="1">
        <v>5025</v>
      </c>
      <c r="I161" s="1">
        <v>5100</v>
      </c>
      <c r="J161" s="1">
        <v>4982</v>
      </c>
      <c r="K161" s="1">
        <v>5081.5</v>
      </c>
      <c r="L161" s="1">
        <v>5081.5</v>
      </c>
      <c r="M161" s="1">
        <v>538836</v>
      </c>
      <c r="Z161" s="2">
        <v>44516</v>
      </c>
      <c r="AA161" s="1">
        <f>INDEX($A:$M, MATCH(Z161, $A:$A, 0), MATCH($AA$1, $A$1:$M$1, 0))</f>
        <v>5025</v>
      </c>
      <c r="AB161" s="1">
        <f>INDEX(A:M, MATCH(Z161, A:A, 0), MATCH(AB160, A160:M160, 0))</f>
        <v>3165</v>
      </c>
    </row>
    <row r="162" spans="1:28" x14ac:dyDescent="0.3">
      <c r="A162" s="2">
        <v>44517</v>
      </c>
      <c r="B162" s="1">
        <v>3170</v>
      </c>
      <c r="C162" s="1">
        <v>3239.8999020000001</v>
      </c>
      <c r="D162" s="1">
        <v>3165.0500489999999</v>
      </c>
      <c r="E162" s="1">
        <v>3230.25</v>
      </c>
      <c r="F162" s="1">
        <v>3230.25</v>
      </c>
      <c r="G162" s="1">
        <v>1616452</v>
      </c>
      <c r="H162" s="1">
        <v>5080</v>
      </c>
      <c r="I162" s="1">
        <v>5180</v>
      </c>
      <c r="J162" s="1">
        <v>5079.75</v>
      </c>
      <c r="K162" s="1">
        <v>5126.3999020000001</v>
      </c>
      <c r="L162" s="1">
        <v>5126.3999020000001</v>
      </c>
      <c r="M162" s="1">
        <v>447914</v>
      </c>
      <c r="Z162" s="2">
        <v>44517</v>
      </c>
      <c r="AA162" s="1">
        <f>INDEX($A:$M, MATCH(Z162, $A:$A, 0), MATCH($AA$1, $A$1:$M$1, 0))</f>
        <v>5080</v>
      </c>
      <c r="AB162" s="1">
        <f>INDEX(A:M, MATCH(Z162, A:A, 0), MATCH(AB161, A161:M161, 0))</f>
        <v>3170</v>
      </c>
    </row>
    <row r="163" spans="1:28" x14ac:dyDescent="0.3">
      <c r="A163" s="2">
        <v>44518</v>
      </c>
      <c r="B163" s="1">
        <v>3249.8500979999999</v>
      </c>
      <c r="C163" s="1">
        <v>3260</v>
      </c>
      <c r="D163" s="1">
        <v>3214</v>
      </c>
      <c r="E163" s="1">
        <v>3226.8500979999999</v>
      </c>
      <c r="F163" s="1">
        <v>3226.8500979999999</v>
      </c>
      <c r="G163" s="1">
        <v>1609821</v>
      </c>
      <c r="H163" s="1">
        <v>5130</v>
      </c>
      <c r="I163" s="1">
        <v>5180</v>
      </c>
      <c r="J163" s="1">
        <v>5037</v>
      </c>
      <c r="K163" s="1">
        <v>5080.8999020000001</v>
      </c>
      <c r="L163" s="1">
        <v>5080.8999020000001</v>
      </c>
      <c r="M163" s="1">
        <v>428372</v>
      </c>
      <c r="Z163" s="2">
        <v>44518</v>
      </c>
      <c r="AA163" s="1">
        <f>INDEX($A:$M, MATCH(Z163, $A:$A, 0), MATCH($AA$1, $A$1:$M$1, 0))</f>
        <v>5130</v>
      </c>
      <c r="AB163" s="1">
        <f>INDEX(A:M, MATCH(Z163, A:A, 0), MATCH(AB162, A162:M162, 0))</f>
        <v>3249.8500979999999</v>
      </c>
    </row>
    <row r="164" spans="1:28" x14ac:dyDescent="0.3">
      <c r="A164" s="2">
        <v>44522</v>
      </c>
      <c r="B164" s="1">
        <v>3241</v>
      </c>
      <c r="C164" s="1">
        <v>3308.3500979999999</v>
      </c>
      <c r="D164" s="1">
        <v>3215.0500489999999</v>
      </c>
      <c r="E164" s="1">
        <v>3261.25</v>
      </c>
      <c r="F164" s="1">
        <v>3261.25</v>
      </c>
      <c r="G164" s="1">
        <v>2146970</v>
      </c>
      <c r="H164" s="1">
        <v>5100</v>
      </c>
      <c r="I164" s="1">
        <v>5100</v>
      </c>
      <c r="J164" s="1">
        <v>4782</v>
      </c>
      <c r="K164" s="1">
        <v>4828.2998049999997</v>
      </c>
      <c r="L164" s="1">
        <v>4828.2998049999997</v>
      </c>
      <c r="M164" s="1">
        <v>650655</v>
      </c>
      <c r="Z164" s="2">
        <v>44522</v>
      </c>
      <c r="AA164" s="1">
        <f>INDEX($A:$M, MATCH(Z164, $A:$A, 0), MATCH($AA$1, $A$1:$M$1, 0))</f>
        <v>5100</v>
      </c>
      <c r="AB164" s="1">
        <f>INDEX(A:M, MATCH(Z164, A:A, 0), MATCH(AB163, A163:M163, 0))</f>
        <v>3241</v>
      </c>
    </row>
    <row r="165" spans="1:28" x14ac:dyDescent="0.3">
      <c r="A165" s="2">
        <v>44523</v>
      </c>
      <c r="B165" s="1">
        <v>3261.25</v>
      </c>
      <c r="C165" s="1">
        <v>3288.3000489999999</v>
      </c>
      <c r="D165" s="1">
        <v>3171.5500489999999</v>
      </c>
      <c r="E165" s="1">
        <v>3185.5500489999999</v>
      </c>
      <c r="F165" s="1">
        <v>3185.5500489999999</v>
      </c>
      <c r="G165" s="1">
        <v>1482618</v>
      </c>
      <c r="H165" s="1">
        <v>4829</v>
      </c>
      <c r="I165" s="1">
        <v>4920</v>
      </c>
      <c r="J165" s="1">
        <v>4758.1499020000001</v>
      </c>
      <c r="K165" s="1">
        <v>4843.2998049999997</v>
      </c>
      <c r="L165" s="1">
        <v>4843.2998049999997</v>
      </c>
      <c r="M165" s="1">
        <v>580934</v>
      </c>
      <c r="Z165" s="2">
        <v>44523</v>
      </c>
      <c r="AA165" s="1">
        <f>INDEX($A:$M, MATCH(Z165, $A:$A, 0), MATCH($AA$1, $A$1:$M$1, 0))</f>
        <v>4829</v>
      </c>
      <c r="AB165" s="1">
        <f>INDEX(A:M, MATCH(Z165, A:A, 0), MATCH(AB164, A164:M164, 0))</f>
        <v>3261.25</v>
      </c>
    </row>
    <row r="166" spans="1:28" x14ac:dyDescent="0.3">
      <c r="A166" s="2">
        <v>44524</v>
      </c>
      <c r="B166" s="1">
        <v>3186.0500489999999</v>
      </c>
      <c r="C166" s="1">
        <v>3208.8999020000001</v>
      </c>
      <c r="D166" s="1">
        <v>3150</v>
      </c>
      <c r="E166" s="1">
        <v>3157</v>
      </c>
      <c r="F166" s="1">
        <v>3157</v>
      </c>
      <c r="G166" s="1">
        <v>1056213</v>
      </c>
      <c r="H166" s="1">
        <v>4876</v>
      </c>
      <c r="I166" s="1">
        <v>4958.9501950000003</v>
      </c>
      <c r="J166" s="1">
        <v>4850.0498049999997</v>
      </c>
      <c r="K166" s="1">
        <v>4882.6000979999999</v>
      </c>
      <c r="L166" s="1">
        <v>4882.6000979999999</v>
      </c>
      <c r="M166" s="1">
        <v>483901</v>
      </c>
      <c r="Z166" s="2">
        <v>44524</v>
      </c>
      <c r="AA166" s="1">
        <f>INDEX($A:$M, MATCH(Z166, $A:$A, 0), MATCH($AA$1, $A$1:$M$1, 0))</f>
        <v>4876</v>
      </c>
      <c r="AB166" s="1">
        <f>INDEX(A:M, MATCH(Z166, A:A, 0), MATCH(AB165, A165:M165, 0))</f>
        <v>3186.0500489999999</v>
      </c>
    </row>
    <row r="167" spans="1:28" x14ac:dyDescent="0.3">
      <c r="A167" s="2">
        <v>44525</v>
      </c>
      <c r="B167" s="1">
        <v>3156.5</v>
      </c>
      <c r="C167" s="1">
        <v>3173.3500979999999</v>
      </c>
      <c r="D167" s="1">
        <v>3113</v>
      </c>
      <c r="E167" s="1">
        <v>3144.25</v>
      </c>
      <c r="F167" s="1">
        <v>3144.25</v>
      </c>
      <c r="G167" s="1">
        <v>728825</v>
      </c>
      <c r="H167" s="1">
        <v>4930</v>
      </c>
      <c r="I167" s="1">
        <v>4930</v>
      </c>
      <c r="J167" s="1">
        <v>4854.6499020000001</v>
      </c>
      <c r="K167" s="1">
        <v>4894.5</v>
      </c>
      <c r="L167" s="1">
        <v>4894.5</v>
      </c>
      <c r="M167" s="1">
        <v>364378</v>
      </c>
      <c r="Z167" s="2">
        <v>44525</v>
      </c>
      <c r="AA167" s="1">
        <f>INDEX($A:$M, MATCH(Z167, $A:$A, 0), MATCH($AA$1, $A$1:$M$1, 0))</f>
        <v>4930</v>
      </c>
      <c r="AB167" s="1">
        <f>INDEX(A:M, MATCH(Z167, A:A, 0), MATCH(AB166, A166:M166, 0))</f>
        <v>3156.5</v>
      </c>
    </row>
    <row r="168" spans="1:28" x14ac:dyDescent="0.3">
      <c r="A168" s="2">
        <v>44526</v>
      </c>
      <c r="B168" s="1">
        <v>3101</v>
      </c>
      <c r="C168" s="1">
        <v>3167.3500979999999</v>
      </c>
      <c r="D168" s="1">
        <v>3091</v>
      </c>
      <c r="E168" s="1">
        <v>3143.1000979999999</v>
      </c>
      <c r="F168" s="1">
        <v>3143.1000979999999</v>
      </c>
      <c r="G168" s="1">
        <v>1029110</v>
      </c>
      <c r="H168" s="1">
        <v>4860</v>
      </c>
      <c r="I168" s="1">
        <v>4860</v>
      </c>
      <c r="J168" s="1">
        <v>4700.1000979999999</v>
      </c>
      <c r="K168" s="1">
        <v>4718.75</v>
      </c>
      <c r="L168" s="1">
        <v>4718.75</v>
      </c>
      <c r="M168" s="1">
        <v>518551</v>
      </c>
      <c r="Z168" s="2">
        <v>44526</v>
      </c>
      <c r="AA168" s="1">
        <f>INDEX($A:$M, MATCH(Z168, $A:$A, 0), MATCH($AA$1, $A$1:$M$1, 0))</f>
        <v>4860</v>
      </c>
      <c r="AB168" s="1">
        <f>INDEX(A:M, MATCH(Z168, A:A, 0), MATCH(AB167, A167:M167, 0))</f>
        <v>3101</v>
      </c>
    </row>
    <row r="169" spans="1:28" x14ac:dyDescent="0.3">
      <c r="A169" s="2">
        <v>44529</v>
      </c>
      <c r="B169" s="1">
        <v>3131</v>
      </c>
      <c r="C169" s="1">
        <v>3178.8999020000001</v>
      </c>
      <c r="D169" s="1">
        <v>3071.8999020000001</v>
      </c>
      <c r="E169" s="1">
        <v>3144.3000489999999</v>
      </c>
      <c r="F169" s="1">
        <v>3144.3000489999999</v>
      </c>
      <c r="G169" s="1">
        <v>876651</v>
      </c>
      <c r="H169" s="1">
        <v>4687</v>
      </c>
      <c r="I169" s="1">
        <v>4721</v>
      </c>
      <c r="J169" s="1">
        <v>4455</v>
      </c>
      <c r="K169" s="1">
        <v>4673.3500979999999</v>
      </c>
      <c r="L169" s="1">
        <v>4673.3500979999999</v>
      </c>
      <c r="M169" s="1">
        <v>609710</v>
      </c>
      <c r="Z169" s="2">
        <v>44529</v>
      </c>
      <c r="AA169" s="1">
        <f>INDEX($A:$M, MATCH(Z169, $A:$A, 0), MATCH($AA$1, $A$1:$M$1, 0))</f>
        <v>4687</v>
      </c>
      <c r="AB169" s="1">
        <f>INDEX(A:M, MATCH(Z169, A:A, 0), MATCH(AB168, A168:M168, 0))</f>
        <v>3131</v>
      </c>
    </row>
    <row r="170" spans="1:28" x14ac:dyDescent="0.3">
      <c r="A170" s="2">
        <v>44530</v>
      </c>
      <c r="B170" s="1">
        <v>3116.1499020000001</v>
      </c>
      <c r="C170" s="1">
        <v>3189</v>
      </c>
      <c r="D170" s="1">
        <v>3116.1499020000001</v>
      </c>
      <c r="E170" s="1">
        <v>3143.6499020000001</v>
      </c>
      <c r="F170" s="1">
        <v>3143.6499020000001</v>
      </c>
      <c r="G170" s="1">
        <v>2340489</v>
      </c>
      <c r="H170" s="1">
        <v>4673.3999020000001</v>
      </c>
      <c r="I170" s="1">
        <v>4800</v>
      </c>
      <c r="J170" s="1">
        <v>4661</v>
      </c>
      <c r="K170" s="1">
        <v>4710.8999020000001</v>
      </c>
      <c r="L170" s="1">
        <v>4710.8999020000001</v>
      </c>
      <c r="M170" s="1">
        <v>790479</v>
      </c>
      <c r="Z170" s="2">
        <v>44530</v>
      </c>
      <c r="AA170" s="1">
        <f>INDEX($A:$M, MATCH(Z170, $A:$A, 0), MATCH($AA$1, $A$1:$M$1, 0))</f>
        <v>4673.3999020000001</v>
      </c>
      <c r="AB170" s="1">
        <f>INDEX(A:M, MATCH(Z170, A:A, 0), MATCH(AB169, A169:M169, 0))</f>
        <v>3116.1499020000001</v>
      </c>
    </row>
    <row r="171" spans="1:28" x14ac:dyDescent="0.3">
      <c r="A171" s="2">
        <v>44531</v>
      </c>
      <c r="B171" s="1">
        <v>3155.8999020000001</v>
      </c>
      <c r="C171" s="1">
        <v>3199.75</v>
      </c>
      <c r="D171" s="1">
        <v>3124.1000979999999</v>
      </c>
      <c r="E171" s="1">
        <v>3138.1499020000001</v>
      </c>
      <c r="F171" s="1">
        <v>3138.1499020000001</v>
      </c>
      <c r="G171" s="1">
        <v>1741820</v>
      </c>
      <c r="H171" s="1">
        <v>4750</v>
      </c>
      <c r="I171" s="1">
        <v>4848</v>
      </c>
      <c r="J171" s="1">
        <v>4666</v>
      </c>
      <c r="K171" s="1">
        <v>4693.7001950000003</v>
      </c>
      <c r="L171" s="1">
        <v>4693.7001950000003</v>
      </c>
      <c r="M171" s="1">
        <v>374830</v>
      </c>
      <c r="Z171" s="2">
        <v>44531</v>
      </c>
      <c r="AA171" s="1">
        <f>INDEX($A:$M, MATCH(Z171, $A:$A, 0), MATCH($AA$1, $A$1:$M$1, 0))</f>
        <v>4750</v>
      </c>
      <c r="AB171" s="1">
        <f>INDEX(A:M, MATCH(Z171, A:A, 0), MATCH(AB170, A170:M170, 0))</f>
        <v>3155.8999020000001</v>
      </c>
    </row>
    <row r="172" spans="1:28" x14ac:dyDescent="0.3">
      <c r="A172" s="2">
        <v>44532</v>
      </c>
      <c r="B172" s="1">
        <v>3160</v>
      </c>
      <c r="C172" s="1">
        <v>3194</v>
      </c>
      <c r="D172" s="1">
        <v>3152.25</v>
      </c>
      <c r="E172" s="1">
        <v>3180.6000979999999</v>
      </c>
      <c r="F172" s="1">
        <v>3180.6000979999999</v>
      </c>
      <c r="G172" s="1">
        <v>939320</v>
      </c>
      <c r="H172" s="1">
        <v>4750</v>
      </c>
      <c r="I172" s="1">
        <v>4794.5498049999997</v>
      </c>
      <c r="J172" s="1">
        <v>4718.4501950000003</v>
      </c>
      <c r="K172" s="1">
        <v>4782.9501950000003</v>
      </c>
      <c r="L172" s="1">
        <v>4782.9501950000003</v>
      </c>
      <c r="M172" s="1">
        <v>351343</v>
      </c>
      <c r="Z172" s="2">
        <v>44532</v>
      </c>
      <c r="AA172" s="1">
        <f>INDEX($A:$M, MATCH(Z172, $A:$A, 0), MATCH($AA$1, $A$1:$M$1, 0))</f>
        <v>4750</v>
      </c>
      <c r="AB172" s="1">
        <f>INDEX(A:M, MATCH(Z172, A:A, 0), MATCH(AB171, A171:M171, 0))</f>
        <v>3160</v>
      </c>
    </row>
    <row r="173" spans="1:28" x14ac:dyDescent="0.3">
      <c r="A173" s="2">
        <v>44533</v>
      </c>
      <c r="B173" s="1">
        <v>3185</v>
      </c>
      <c r="C173" s="1">
        <v>3187.4499510000001</v>
      </c>
      <c r="D173" s="1">
        <v>3106</v>
      </c>
      <c r="E173" s="1">
        <v>3110.4499510000001</v>
      </c>
      <c r="F173" s="1">
        <v>3110.4499510000001</v>
      </c>
      <c r="G173" s="1">
        <v>1216263</v>
      </c>
      <c r="H173" s="1">
        <v>4799</v>
      </c>
      <c r="I173" s="1">
        <v>4850</v>
      </c>
      <c r="J173" s="1">
        <v>4775</v>
      </c>
      <c r="K173" s="1">
        <v>4799.0498049999997</v>
      </c>
      <c r="L173" s="1">
        <v>4799.0498049999997</v>
      </c>
      <c r="M173" s="1">
        <v>287731</v>
      </c>
      <c r="Z173" s="2">
        <v>44533</v>
      </c>
      <c r="AA173" s="1">
        <f>INDEX($A:$M, MATCH(Z173, $A:$A, 0), MATCH($AA$1, $A$1:$M$1, 0))</f>
        <v>4799</v>
      </c>
      <c r="AB173" s="1">
        <f>INDEX(A:M, MATCH(Z173, A:A, 0), MATCH(AB172, A172:M172, 0))</f>
        <v>3185</v>
      </c>
    </row>
    <row r="174" spans="1:28" x14ac:dyDescent="0.3">
      <c r="A174" s="2">
        <v>44536</v>
      </c>
      <c r="B174" s="1">
        <v>3115</v>
      </c>
      <c r="C174" s="1">
        <v>3115</v>
      </c>
      <c r="D174" s="1">
        <v>3028.25</v>
      </c>
      <c r="E174" s="1">
        <v>3038.3000489999999</v>
      </c>
      <c r="F174" s="1">
        <v>3038.3000489999999</v>
      </c>
      <c r="G174" s="1">
        <v>1107363</v>
      </c>
      <c r="H174" s="1">
        <v>4820</v>
      </c>
      <c r="I174" s="1">
        <v>4821.9501950000003</v>
      </c>
      <c r="J174" s="1">
        <v>4580</v>
      </c>
      <c r="K174" s="1">
        <v>4593.4501950000003</v>
      </c>
      <c r="L174" s="1">
        <v>4593.4501950000003</v>
      </c>
      <c r="M174" s="1">
        <v>466595</v>
      </c>
      <c r="Z174" s="2">
        <v>44536</v>
      </c>
      <c r="AA174" s="1">
        <f>INDEX($A:$M, MATCH(Z174, $A:$A, 0), MATCH($AA$1, $A$1:$M$1, 0))</f>
        <v>4820</v>
      </c>
      <c r="AB174" s="1">
        <f>INDEX(A:M, MATCH(Z174, A:A, 0), MATCH(AB173, A173:M173, 0))</f>
        <v>3115</v>
      </c>
    </row>
    <row r="175" spans="1:28" x14ac:dyDescent="0.3">
      <c r="A175" s="2">
        <v>44537</v>
      </c>
      <c r="B175" s="1">
        <v>3040</v>
      </c>
      <c r="C175" s="1">
        <v>3069</v>
      </c>
      <c r="D175" s="1">
        <v>3016.4499510000001</v>
      </c>
      <c r="E175" s="1">
        <v>3030.3500979999999</v>
      </c>
      <c r="F175" s="1">
        <v>3030.3500979999999</v>
      </c>
      <c r="G175" s="1">
        <v>2056459</v>
      </c>
      <c r="H175" s="1">
        <v>4674.7001950000003</v>
      </c>
      <c r="I175" s="1">
        <v>4719</v>
      </c>
      <c r="J175" s="1">
        <v>4611</v>
      </c>
      <c r="K175" s="1">
        <v>4660.6499020000001</v>
      </c>
      <c r="L175" s="1">
        <v>4660.6499020000001</v>
      </c>
      <c r="M175" s="1">
        <v>435517</v>
      </c>
      <c r="Z175" s="2">
        <v>44537</v>
      </c>
      <c r="AA175" s="1">
        <f>INDEX($A:$M, MATCH(Z175, $A:$A, 0), MATCH($AA$1, $A$1:$M$1, 0))</f>
        <v>4674.7001950000003</v>
      </c>
      <c r="AB175" s="1">
        <f>INDEX(A:M, MATCH(Z175, A:A, 0), MATCH(AB174, A174:M174, 0))</f>
        <v>3040</v>
      </c>
    </row>
    <row r="176" spans="1:28" x14ac:dyDescent="0.3">
      <c r="A176" s="2">
        <v>44538</v>
      </c>
      <c r="B176" s="1">
        <v>3031.8999020000001</v>
      </c>
      <c r="C176" s="1">
        <v>3123</v>
      </c>
      <c r="D176" s="1">
        <v>3031</v>
      </c>
      <c r="E176" s="1">
        <v>3108.5</v>
      </c>
      <c r="F176" s="1">
        <v>3108.5</v>
      </c>
      <c r="G176" s="1">
        <v>1171484</v>
      </c>
      <c r="H176" s="1">
        <v>4708.2001950000003</v>
      </c>
      <c r="I176" s="1">
        <v>4842</v>
      </c>
      <c r="J176" s="1">
        <v>4708.2001950000003</v>
      </c>
      <c r="K176" s="1">
        <v>4814.6000979999999</v>
      </c>
      <c r="L176" s="1">
        <v>4814.6000979999999</v>
      </c>
      <c r="M176" s="1">
        <v>763280</v>
      </c>
      <c r="Z176" s="2">
        <v>44538</v>
      </c>
      <c r="AA176" s="1">
        <f>INDEX($A:$M, MATCH(Z176, $A:$A, 0), MATCH($AA$1, $A$1:$M$1, 0))</f>
        <v>4708.2001950000003</v>
      </c>
      <c r="AB176" s="1">
        <f>INDEX(A:M, MATCH(Z176, A:A, 0), MATCH(AB175, A175:M175, 0))</f>
        <v>3031.8999020000001</v>
      </c>
    </row>
    <row r="177" spans="1:28" x14ac:dyDescent="0.3">
      <c r="A177" s="2">
        <v>44539</v>
      </c>
      <c r="B177" s="1">
        <v>3152.3999020000001</v>
      </c>
      <c r="C177" s="1">
        <v>3183.0500489999999</v>
      </c>
      <c r="D177" s="1">
        <v>3111</v>
      </c>
      <c r="E177" s="1">
        <v>3178.6999510000001</v>
      </c>
      <c r="F177" s="1">
        <v>3178.6999510000001</v>
      </c>
      <c r="G177" s="1">
        <v>1287243</v>
      </c>
      <c r="H177" s="1">
        <v>4822</v>
      </c>
      <c r="I177" s="1">
        <v>4878.3999020000001</v>
      </c>
      <c r="J177" s="1">
        <v>4777</v>
      </c>
      <c r="K177" s="1">
        <v>4821.2001950000003</v>
      </c>
      <c r="L177" s="1">
        <v>4821.2001950000003</v>
      </c>
      <c r="M177" s="1">
        <v>316687</v>
      </c>
      <c r="Z177" s="2">
        <v>44539</v>
      </c>
      <c r="AA177" s="1">
        <f>INDEX($A:$M, MATCH(Z177, $A:$A, 0), MATCH($AA$1, $A$1:$M$1, 0))</f>
        <v>4822</v>
      </c>
      <c r="AB177" s="1">
        <f>INDEX(A:M, MATCH(Z177, A:A, 0), MATCH(AB176, A176:M176, 0))</f>
        <v>3152.3999020000001</v>
      </c>
    </row>
    <row r="178" spans="1:28" x14ac:dyDescent="0.3">
      <c r="A178" s="2">
        <v>44540</v>
      </c>
      <c r="B178" s="1">
        <v>3184</v>
      </c>
      <c r="C178" s="1">
        <v>3292</v>
      </c>
      <c r="D178" s="1">
        <v>3178.6999510000001</v>
      </c>
      <c r="E178" s="1">
        <v>3283.1499020000001</v>
      </c>
      <c r="F178" s="1">
        <v>3283.1499020000001</v>
      </c>
      <c r="G178" s="1">
        <v>2554394</v>
      </c>
      <c r="H178" s="1">
        <v>4798</v>
      </c>
      <c r="I178" s="1">
        <v>4809.7001950000003</v>
      </c>
      <c r="J178" s="1">
        <v>4775.5</v>
      </c>
      <c r="K178" s="1">
        <v>4796.6000979999999</v>
      </c>
      <c r="L178" s="1">
        <v>4796.6000979999999</v>
      </c>
      <c r="M178" s="1">
        <v>173574</v>
      </c>
      <c r="Z178" s="2">
        <v>44540</v>
      </c>
      <c r="AA178" s="1">
        <f>INDEX($A:$M, MATCH(Z178, $A:$A, 0), MATCH($AA$1, $A$1:$M$1, 0))</f>
        <v>4798</v>
      </c>
      <c r="AB178" s="1">
        <f>INDEX(A:M, MATCH(Z178, A:A, 0), MATCH(AB177, A177:M177, 0))</f>
        <v>3184</v>
      </c>
    </row>
    <row r="179" spans="1:28" x14ac:dyDescent="0.3">
      <c r="A179" s="2">
        <v>44543</v>
      </c>
      <c r="B179" s="1">
        <v>3285.1000979999999</v>
      </c>
      <c r="C179" s="1">
        <v>3341</v>
      </c>
      <c r="D179" s="1">
        <v>3270.9499510000001</v>
      </c>
      <c r="E179" s="1">
        <v>3279.8500979999999</v>
      </c>
      <c r="F179" s="1">
        <v>3279.8500979999999</v>
      </c>
      <c r="G179" s="1">
        <v>1265832</v>
      </c>
      <c r="H179" s="1">
        <v>4830</v>
      </c>
      <c r="I179" s="1">
        <v>4870</v>
      </c>
      <c r="J179" s="1">
        <v>4750</v>
      </c>
      <c r="K179" s="1">
        <v>4765.7998049999997</v>
      </c>
      <c r="L179" s="1">
        <v>4765.7998049999997</v>
      </c>
      <c r="M179" s="1">
        <v>283323</v>
      </c>
      <c r="Z179" s="2">
        <v>44543</v>
      </c>
      <c r="AA179" s="1">
        <f>INDEX($A:$M, MATCH(Z179, $A:$A, 0), MATCH($AA$1, $A$1:$M$1, 0))</f>
        <v>4830</v>
      </c>
      <c r="AB179" s="1">
        <f>INDEX(A:M, MATCH(Z179, A:A, 0), MATCH(AB178, A178:M178, 0))</f>
        <v>3285.1000979999999</v>
      </c>
    </row>
    <row r="180" spans="1:28" x14ac:dyDescent="0.3">
      <c r="A180" s="2">
        <v>44544</v>
      </c>
      <c r="B180" s="1">
        <v>3274</v>
      </c>
      <c r="C180" s="1">
        <v>3305</v>
      </c>
      <c r="D180" s="1">
        <v>3249</v>
      </c>
      <c r="E180" s="1">
        <v>3297.5</v>
      </c>
      <c r="F180" s="1">
        <v>3297.5</v>
      </c>
      <c r="G180" s="1">
        <v>863179</v>
      </c>
      <c r="H180" s="1">
        <v>4764.75</v>
      </c>
      <c r="I180" s="1">
        <v>4840</v>
      </c>
      <c r="J180" s="1">
        <v>4714.1000979999999</v>
      </c>
      <c r="K180" s="1">
        <v>4814.3999020000001</v>
      </c>
      <c r="L180" s="1">
        <v>4814.3999020000001</v>
      </c>
      <c r="M180" s="1">
        <v>352396</v>
      </c>
      <c r="Z180" s="2">
        <v>44544</v>
      </c>
      <c r="AA180" s="1">
        <f>INDEX($A:$M, MATCH(Z180, $A:$A, 0), MATCH($AA$1, $A$1:$M$1, 0))</f>
        <v>4764.75</v>
      </c>
      <c r="AB180" s="1">
        <f>INDEX(A:M, MATCH(Z180, A:A, 0), MATCH(AB179, A179:M179, 0))</f>
        <v>3274</v>
      </c>
    </row>
    <row r="181" spans="1:28" x14ac:dyDescent="0.3">
      <c r="A181" s="2">
        <v>44545</v>
      </c>
      <c r="B181" s="1">
        <v>3278.1499020000001</v>
      </c>
      <c r="C181" s="1">
        <v>3313.9499510000001</v>
      </c>
      <c r="D181" s="1">
        <v>3266.5</v>
      </c>
      <c r="E181" s="1">
        <v>3301.9499510000001</v>
      </c>
      <c r="F181" s="1">
        <v>3301.9499510000001</v>
      </c>
      <c r="G181" s="1">
        <v>811946</v>
      </c>
      <c r="H181" s="1">
        <v>4799.8999020000001</v>
      </c>
      <c r="I181" s="1">
        <v>4814.25</v>
      </c>
      <c r="J181" s="1">
        <v>4740</v>
      </c>
      <c r="K181" s="1">
        <v>4749.4501950000003</v>
      </c>
      <c r="L181" s="1">
        <v>4749.4501950000003</v>
      </c>
      <c r="M181" s="1">
        <v>410084</v>
      </c>
      <c r="Z181" s="2">
        <v>44545</v>
      </c>
      <c r="AA181" s="1">
        <f>INDEX($A:$M, MATCH(Z181, $A:$A, 0), MATCH($AA$1, $A$1:$M$1, 0))</f>
        <v>4799.8999020000001</v>
      </c>
      <c r="AB181" s="1">
        <f>INDEX(A:M, MATCH(Z181, A:A, 0), MATCH(AB180, A180:M180, 0))</f>
        <v>3278.1499020000001</v>
      </c>
    </row>
    <row r="182" spans="1:28" x14ac:dyDescent="0.3">
      <c r="A182" s="2">
        <v>44546</v>
      </c>
      <c r="B182" s="1">
        <v>3325</v>
      </c>
      <c r="C182" s="1">
        <v>3325</v>
      </c>
      <c r="D182" s="1">
        <v>3270.6000979999999</v>
      </c>
      <c r="E182" s="1">
        <v>3298.6000979999999</v>
      </c>
      <c r="F182" s="1">
        <v>3298.6000979999999</v>
      </c>
      <c r="G182" s="1">
        <v>502930</v>
      </c>
      <c r="H182" s="1">
        <v>4801</v>
      </c>
      <c r="I182" s="1">
        <v>4815.1499020000001</v>
      </c>
      <c r="J182" s="1">
        <v>4726.1499020000001</v>
      </c>
      <c r="K182" s="1">
        <v>4742.1000979999999</v>
      </c>
      <c r="L182" s="1">
        <v>4742.1000979999999</v>
      </c>
      <c r="M182" s="1">
        <v>243570</v>
      </c>
      <c r="Z182" s="2">
        <v>44546</v>
      </c>
      <c r="AA182" s="1">
        <f>INDEX($A:$M, MATCH(Z182, $A:$A, 0), MATCH($AA$1, $A$1:$M$1, 0))</f>
        <v>4801</v>
      </c>
      <c r="AB182" s="1">
        <f>INDEX(A:M, MATCH(Z182, A:A, 0), MATCH(AB181, A181:M181, 0))</f>
        <v>3325</v>
      </c>
    </row>
    <row r="183" spans="1:28" x14ac:dyDescent="0.3">
      <c r="A183" s="2">
        <v>44547</v>
      </c>
      <c r="B183" s="1">
        <v>3275</v>
      </c>
      <c r="C183" s="1">
        <v>3293.3000489999999</v>
      </c>
      <c r="D183" s="1">
        <v>3227.6999510000001</v>
      </c>
      <c r="E183" s="1">
        <v>3243.6999510000001</v>
      </c>
      <c r="F183" s="1">
        <v>3243.6999510000001</v>
      </c>
      <c r="G183" s="1">
        <v>1019403</v>
      </c>
      <c r="H183" s="1">
        <v>4771</v>
      </c>
      <c r="I183" s="1">
        <v>4791.25</v>
      </c>
      <c r="J183" s="1">
        <v>4672.1499020000001</v>
      </c>
      <c r="K183" s="1">
        <v>4697.7998049999997</v>
      </c>
      <c r="L183" s="1">
        <v>4697.7998049999997</v>
      </c>
      <c r="M183" s="1">
        <v>454824</v>
      </c>
      <c r="Z183" s="2">
        <v>44547</v>
      </c>
      <c r="AA183" s="1">
        <f>INDEX($A:$M, MATCH(Z183, $A:$A, 0), MATCH($AA$1, $A$1:$M$1, 0))</f>
        <v>4771</v>
      </c>
      <c r="AB183" s="1">
        <f>INDEX(A:M, MATCH(Z183, A:A, 0), MATCH(AB182, A182:M182, 0))</f>
        <v>3275</v>
      </c>
    </row>
    <row r="184" spans="1:28" x14ac:dyDescent="0.3">
      <c r="A184" s="2">
        <v>44550</v>
      </c>
      <c r="B184" s="1">
        <v>3227</v>
      </c>
      <c r="C184" s="1">
        <v>3275</v>
      </c>
      <c r="D184" s="1">
        <v>3181</v>
      </c>
      <c r="E184" s="1">
        <v>3239.4499510000001</v>
      </c>
      <c r="F184" s="1">
        <v>3239.4499510000001</v>
      </c>
      <c r="G184" s="1">
        <v>948872</v>
      </c>
      <c r="H184" s="1">
        <v>4669</v>
      </c>
      <c r="I184" s="1">
        <v>4690</v>
      </c>
      <c r="J184" s="1">
        <v>4552.25</v>
      </c>
      <c r="K184" s="1">
        <v>4618.9501950000003</v>
      </c>
      <c r="L184" s="1">
        <v>4618.9501950000003</v>
      </c>
      <c r="M184" s="1">
        <v>310441</v>
      </c>
      <c r="Z184" s="2">
        <v>44550</v>
      </c>
      <c r="AA184" s="1">
        <f>INDEX($A:$M, MATCH(Z184, $A:$A, 0), MATCH($AA$1, $A$1:$M$1, 0))</f>
        <v>4669</v>
      </c>
      <c r="AB184" s="1">
        <f>INDEX(A:M, MATCH(Z184, A:A, 0), MATCH(AB183, A183:M183, 0))</f>
        <v>3227</v>
      </c>
    </row>
    <row r="185" spans="1:28" x14ac:dyDescent="0.3">
      <c r="A185" s="2">
        <v>44551</v>
      </c>
      <c r="B185" s="1">
        <v>3247</v>
      </c>
      <c r="C185" s="1">
        <v>3296</v>
      </c>
      <c r="D185" s="1">
        <v>3240</v>
      </c>
      <c r="E185" s="1">
        <v>3271.3500979999999</v>
      </c>
      <c r="F185" s="1">
        <v>3271.3500979999999</v>
      </c>
      <c r="G185" s="1">
        <v>712026</v>
      </c>
      <c r="H185" s="1">
        <v>4612.5</v>
      </c>
      <c r="I185" s="1">
        <v>4677</v>
      </c>
      <c r="J185" s="1">
        <v>4571.0498049999997</v>
      </c>
      <c r="K185" s="1">
        <v>4587.3999020000001</v>
      </c>
      <c r="L185" s="1">
        <v>4587.3999020000001</v>
      </c>
      <c r="M185" s="1">
        <v>312536</v>
      </c>
      <c r="Z185" s="2">
        <v>44551</v>
      </c>
      <c r="AA185" s="1">
        <f>INDEX($A:$M, MATCH(Z185, $A:$A, 0), MATCH($AA$1, $A$1:$M$1, 0))</f>
        <v>4612.5</v>
      </c>
      <c r="AB185" s="1">
        <f>INDEX(A:M, MATCH(Z185, A:A, 0), MATCH(AB184, A184:M184, 0))</f>
        <v>3247</v>
      </c>
    </row>
    <row r="186" spans="1:28" x14ac:dyDescent="0.3">
      <c r="A186" s="2">
        <v>44552</v>
      </c>
      <c r="B186" s="1">
        <v>3275.6999510000001</v>
      </c>
      <c r="C186" s="1">
        <v>3285.6499020000001</v>
      </c>
      <c r="D186" s="1">
        <v>3241</v>
      </c>
      <c r="E186" s="1">
        <v>3280.1000979999999</v>
      </c>
      <c r="F186" s="1">
        <v>3280.1000979999999</v>
      </c>
      <c r="G186" s="1">
        <v>619865</v>
      </c>
      <c r="H186" s="1">
        <v>4627.9501950000003</v>
      </c>
      <c r="I186" s="1">
        <v>4695.5</v>
      </c>
      <c r="J186" s="1">
        <v>4587.3999020000001</v>
      </c>
      <c r="K186" s="1">
        <v>4655.8500979999999</v>
      </c>
      <c r="L186" s="1">
        <v>4655.8500979999999</v>
      </c>
      <c r="M186" s="1">
        <v>338380</v>
      </c>
      <c r="Z186" s="2">
        <v>44552</v>
      </c>
      <c r="AA186" s="1">
        <f>INDEX($A:$M, MATCH(Z186, $A:$A, 0), MATCH($AA$1, $A$1:$M$1, 0))</f>
        <v>4627.9501950000003</v>
      </c>
      <c r="AB186" s="1">
        <f>INDEX(A:M, MATCH(Z186, A:A, 0), MATCH(AB185, A185:M185, 0))</f>
        <v>3275.6999510000001</v>
      </c>
    </row>
    <row r="187" spans="1:28" x14ac:dyDescent="0.3">
      <c r="A187" s="2">
        <v>44553</v>
      </c>
      <c r="B187" s="1">
        <v>3290</v>
      </c>
      <c r="C187" s="1">
        <v>3307.8999020000001</v>
      </c>
      <c r="D187" s="1">
        <v>3250</v>
      </c>
      <c r="E187" s="1">
        <v>3267.8999020000001</v>
      </c>
      <c r="F187" s="1">
        <v>3267.8999020000001</v>
      </c>
      <c r="G187" s="1">
        <v>1051596</v>
      </c>
      <c r="H187" s="1">
        <v>4711.25</v>
      </c>
      <c r="I187" s="1">
        <v>4711.25</v>
      </c>
      <c r="J187" s="1">
        <v>4631.3999020000001</v>
      </c>
      <c r="K187" s="1">
        <v>4647.8999020000001</v>
      </c>
      <c r="L187" s="1">
        <v>4647.8999020000001</v>
      </c>
      <c r="M187" s="1">
        <v>204211</v>
      </c>
      <c r="Z187" s="2">
        <v>44553</v>
      </c>
      <c r="AA187" s="1">
        <f>INDEX($A:$M, MATCH(Z187, $A:$A, 0), MATCH($AA$1, $A$1:$M$1, 0))</f>
        <v>4711.25</v>
      </c>
      <c r="AB187" s="1">
        <f>INDEX(A:M, MATCH(Z187, A:A, 0), MATCH(AB186, A186:M186, 0))</f>
        <v>3290</v>
      </c>
    </row>
    <row r="188" spans="1:28" x14ac:dyDescent="0.3">
      <c r="A188" s="2">
        <v>44554</v>
      </c>
      <c r="B188" s="1">
        <v>3280</v>
      </c>
      <c r="C188" s="1">
        <v>3300</v>
      </c>
      <c r="D188" s="1">
        <v>3261</v>
      </c>
      <c r="E188" s="1">
        <v>3284.8000489999999</v>
      </c>
      <c r="F188" s="1">
        <v>3284.8000489999999</v>
      </c>
      <c r="G188" s="1">
        <v>651404</v>
      </c>
      <c r="H188" s="1">
        <v>4674</v>
      </c>
      <c r="I188" s="1">
        <v>4674</v>
      </c>
      <c r="J188" s="1">
        <v>4615</v>
      </c>
      <c r="K188" s="1">
        <v>4628.8999020000001</v>
      </c>
      <c r="L188" s="1">
        <v>4628.8999020000001</v>
      </c>
      <c r="M188" s="1">
        <v>122078</v>
      </c>
      <c r="Z188" s="2">
        <v>44554</v>
      </c>
      <c r="AA188" s="1">
        <f>INDEX($A:$M, MATCH(Z188, $A:$A, 0), MATCH($AA$1, $A$1:$M$1, 0))</f>
        <v>4674</v>
      </c>
      <c r="AB188" s="1">
        <f>INDEX(A:M, MATCH(Z188, A:A, 0), MATCH(AB187, A187:M187, 0))</f>
        <v>3280</v>
      </c>
    </row>
    <row r="189" spans="1:28" x14ac:dyDescent="0.3">
      <c r="A189" s="2">
        <v>44557</v>
      </c>
      <c r="B189" s="1">
        <v>3280.1000979999999</v>
      </c>
      <c r="C189" s="1">
        <v>3284.75</v>
      </c>
      <c r="D189" s="1">
        <v>3226.1999510000001</v>
      </c>
      <c r="E189" s="1">
        <v>3272.3999020000001</v>
      </c>
      <c r="F189" s="1">
        <v>3272.3999020000001</v>
      </c>
      <c r="G189" s="1">
        <v>640701</v>
      </c>
      <c r="H189" s="1">
        <v>4599</v>
      </c>
      <c r="I189" s="1">
        <v>4680</v>
      </c>
      <c r="J189" s="1">
        <v>4555.25</v>
      </c>
      <c r="K189" s="1">
        <v>4668.6499020000001</v>
      </c>
      <c r="L189" s="1">
        <v>4668.6499020000001</v>
      </c>
      <c r="M189" s="1">
        <v>294366</v>
      </c>
      <c r="Z189" s="2">
        <v>44557</v>
      </c>
      <c r="AA189" s="1">
        <f>INDEX($A:$M, MATCH(Z189, $A:$A, 0), MATCH($AA$1, $A$1:$M$1, 0))</f>
        <v>4599</v>
      </c>
      <c r="AB189" s="1">
        <f>INDEX(A:M, MATCH(Z189, A:A, 0), MATCH(AB188, A188:M188, 0))</f>
        <v>3280.1000979999999</v>
      </c>
    </row>
    <row r="190" spans="1:28" x14ac:dyDescent="0.3">
      <c r="A190" s="2">
        <v>44558</v>
      </c>
      <c r="B190" s="1">
        <v>3275.9499510000001</v>
      </c>
      <c r="C190" s="1">
        <v>3375</v>
      </c>
      <c r="D190" s="1">
        <v>3273</v>
      </c>
      <c r="E190" s="1">
        <v>3368.1999510000001</v>
      </c>
      <c r="F190" s="1">
        <v>3368.1999510000001</v>
      </c>
      <c r="G190" s="1">
        <v>1211648</v>
      </c>
      <c r="H190" s="1">
        <v>4680</v>
      </c>
      <c r="I190" s="1">
        <v>4760.9501950000003</v>
      </c>
      <c r="J190" s="1">
        <v>4645</v>
      </c>
      <c r="K190" s="1">
        <v>4721.9501950000003</v>
      </c>
      <c r="L190" s="1">
        <v>4721.9501950000003</v>
      </c>
      <c r="M190" s="1">
        <v>320963</v>
      </c>
      <c r="Z190" s="2">
        <v>44558</v>
      </c>
      <c r="AA190" s="1">
        <f>INDEX($A:$M, MATCH(Z190, $A:$A, 0), MATCH($AA$1, $A$1:$M$1, 0))</f>
        <v>4680</v>
      </c>
      <c r="AB190" s="1">
        <f>INDEX(A:M, MATCH(Z190, A:A, 0), MATCH(AB189, A189:M189, 0))</f>
        <v>3275.9499510000001</v>
      </c>
    </row>
    <row r="191" spans="1:28" x14ac:dyDescent="0.3">
      <c r="A191" s="2">
        <v>44559</v>
      </c>
      <c r="B191" s="1">
        <v>3372.1999510000001</v>
      </c>
      <c r="C191" s="1">
        <v>3386</v>
      </c>
      <c r="D191" s="1">
        <v>3346.1999510000001</v>
      </c>
      <c r="E191" s="1">
        <v>3367.4499510000001</v>
      </c>
      <c r="F191" s="1">
        <v>3367.4499510000001</v>
      </c>
      <c r="G191" s="1">
        <v>598421</v>
      </c>
      <c r="H191" s="1">
        <v>4739</v>
      </c>
      <c r="I191" s="1">
        <v>4748.7001950000003</v>
      </c>
      <c r="J191" s="1">
        <v>4675</v>
      </c>
      <c r="K191" s="1">
        <v>4683.9501950000003</v>
      </c>
      <c r="L191" s="1">
        <v>4683.9501950000003</v>
      </c>
      <c r="M191" s="1">
        <v>176720</v>
      </c>
      <c r="Z191" s="2">
        <v>44559</v>
      </c>
      <c r="AA191" s="1">
        <f>INDEX($A:$M, MATCH(Z191, $A:$A, 0), MATCH($AA$1, $A$1:$M$1, 0))</f>
        <v>4739</v>
      </c>
      <c r="AB191" s="1">
        <f>INDEX(A:M, MATCH(Z191, A:A, 0), MATCH(AB190, A190:M190, 0))</f>
        <v>3372.1999510000001</v>
      </c>
    </row>
    <row r="192" spans="1:28" x14ac:dyDescent="0.3">
      <c r="A192" s="2">
        <v>44560</v>
      </c>
      <c r="B192" s="1">
        <v>3363.25</v>
      </c>
      <c r="C192" s="1">
        <v>3390</v>
      </c>
      <c r="D192" s="1">
        <v>3350.3000489999999</v>
      </c>
      <c r="E192" s="1">
        <v>3365.6999510000001</v>
      </c>
      <c r="F192" s="1">
        <v>3365.6999510000001</v>
      </c>
      <c r="G192" s="1">
        <v>691223</v>
      </c>
      <c r="H192" s="1">
        <v>4677.5</v>
      </c>
      <c r="I192" s="1">
        <v>4699</v>
      </c>
      <c r="J192" s="1">
        <v>4625</v>
      </c>
      <c r="K192" s="1">
        <v>4639.3500979999999</v>
      </c>
      <c r="L192" s="1">
        <v>4639.3500979999999</v>
      </c>
      <c r="M192" s="1">
        <v>195753</v>
      </c>
      <c r="Z192" s="2">
        <v>44560</v>
      </c>
      <c r="AA192" s="1">
        <f>INDEX($A:$M, MATCH(Z192, $A:$A, 0), MATCH($AA$1, $A$1:$M$1, 0))</f>
        <v>4677.5</v>
      </c>
      <c r="AB192" s="1">
        <f>INDEX(A:M, MATCH(Z192, A:A, 0), MATCH(AB191, A191:M191, 0))</f>
        <v>3363.25</v>
      </c>
    </row>
    <row r="193" spans="1:28" x14ac:dyDescent="0.3">
      <c r="A193" s="2">
        <v>44561</v>
      </c>
      <c r="B193" s="1">
        <v>3390</v>
      </c>
      <c r="C193" s="1">
        <v>3405</v>
      </c>
      <c r="D193" s="1">
        <v>3361.3999020000001</v>
      </c>
      <c r="E193" s="1">
        <v>3382.9499510000001</v>
      </c>
      <c r="F193" s="1">
        <v>3382.9499510000001</v>
      </c>
      <c r="G193" s="1">
        <v>570671</v>
      </c>
      <c r="H193" s="1">
        <v>4641</v>
      </c>
      <c r="I193" s="1">
        <v>4692.75</v>
      </c>
      <c r="J193" s="1">
        <v>4636</v>
      </c>
      <c r="K193" s="1">
        <v>4671.4501950000003</v>
      </c>
      <c r="L193" s="1">
        <v>4671.4501950000003</v>
      </c>
      <c r="M193" s="1">
        <v>172788</v>
      </c>
      <c r="Z193" s="2">
        <v>44561</v>
      </c>
      <c r="AA193" s="1">
        <f>INDEX($A:$M, MATCH(Z193, $A:$A, 0), MATCH($AA$1, $A$1:$M$1, 0))</f>
        <v>4641</v>
      </c>
      <c r="AB193" s="1">
        <f>INDEX(A:M, MATCH(Z193, A:A, 0), MATCH(AB192, A192:M192, 0))</f>
        <v>3390</v>
      </c>
    </row>
    <row r="194" spans="1:28" x14ac:dyDescent="0.3">
      <c r="A194" s="2">
        <v>44564</v>
      </c>
      <c r="B194" s="1">
        <v>3383</v>
      </c>
      <c r="C194" s="1">
        <v>3440.8999020000001</v>
      </c>
      <c r="D194" s="1">
        <v>3383</v>
      </c>
      <c r="E194" s="1">
        <v>3422.3999020000001</v>
      </c>
      <c r="F194" s="1">
        <v>3422.3999020000001</v>
      </c>
      <c r="G194" s="1">
        <v>696276</v>
      </c>
      <c r="H194" s="1">
        <v>4770</v>
      </c>
      <c r="I194" s="1">
        <v>4799</v>
      </c>
      <c r="J194" s="1">
        <v>4701.2001950000003</v>
      </c>
      <c r="K194" s="1">
        <v>4711.5</v>
      </c>
      <c r="L194" s="1">
        <v>4711.5</v>
      </c>
      <c r="M194" s="1">
        <v>534384</v>
      </c>
      <c r="Z194" s="2">
        <v>44564</v>
      </c>
      <c r="AA194" s="1">
        <f>INDEX($A:$M, MATCH(Z194, $A:$A, 0), MATCH($AA$1, $A$1:$M$1, 0))</f>
        <v>4770</v>
      </c>
      <c r="AB194" s="1">
        <f>INDEX(A:M, MATCH(Z194, A:A, 0), MATCH(AB193, A193:M193, 0))</f>
        <v>3383</v>
      </c>
    </row>
    <row r="195" spans="1:28" x14ac:dyDescent="0.3">
      <c r="A195" s="2">
        <v>44565</v>
      </c>
      <c r="B195" s="1">
        <v>3434</v>
      </c>
      <c r="C195" s="1">
        <v>3472.4499510000001</v>
      </c>
      <c r="D195" s="1">
        <v>3415.0500489999999</v>
      </c>
      <c r="E195" s="1">
        <v>3459.3000489999999</v>
      </c>
      <c r="F195" s="1">
        <v>3459.3000489999999</v>
      </c>
      <c r="G195" s="1">
        <v>790886</v>
      </c>
      <c r="H195" s="1">
        <v>4758.8999020000001</v>
      </c>
      <c r="I195" s="1">
        <v>4758.8999020000001</v>
      </c>
      <c r="J195" s="1">
        <v>4685</v>
      </c>
      <c r="K195" s="1">
        <v>4726.9501950000003</v>
      </c>
      <c r="L195" s="1">
        <v>4726.9501950000003</v>
      </c>
      <c r="M195" s="1">
        <v>242287</v>
      </c>
      <c r="Z195" s="2">
        <v>44565</v>
      </c>
      <c r="AA195" s="1">
        <f>INDEX($A:$M, MATCH(Z195, $A:$A, 0), MATCH($AA$1, $A$1:$M$1, 0))</f>
        <v>4758.8999020000001</v>
      </c>
      <c r="AB195" s="1">
        <f>INDEX(A:M, MATCH(Z195, A:A, 0), MATCH(AB194, A194:M194, 0))</f>
        <v>3434</v>
      </c>
    </row>
    <row r="196" spans="1:28" x14ac:dyDescent="0.3">
      <c r="A196" s="2">
        <v>44566</v>
      </c>
      <c r="B196" s="1">
        <v>3470</v>
      </c>
      <c r="C196" s="1">
        <v>3540</v>
      </c>
      <c r="D196" s="1">
        <v>3452.0500489999999</v>
      </c>
      <c r="E196" s="1">
        <v>3526.8000489999999</v>
      </c>
      <c r="F196" s="1">
        <v>3526.8000489999999</v>
      </c>
      <c r="G196" s="1">
        <v>1024506</v>
      </c>
      <c r="H196" s="1">
        <v>4725</v>
      </c>
      <c r="I196" s="1">
        <v>4725</v>
      </c>
      <c r="J196" s="1">
        <v>4646</v>
      </c>
      <c r="K196" s="1">
        <v>4687.3999020000001</v>
      </c>
      <c r="L196" s="1">
        <v>4687.3999020000001</v>
      </c>
      <c r="M196" s="1">
        <v>287948</v>
      </c>
      <c r="Z196" s="2">
        <v>44566</v>
      </c>
      <c r="AA196" s="1">
        <f>INDEX($A:$M, MATCH(Z196, $A:$A, 0), MATCH($AA$1, $A$1:$M$1, 0))</f>
        <v>4725</v>
      </c>
      <c r="AB196" s="1">
        <f>INDEX(A:M, MATCH(Z196, A:A, 0), MATCH(AB195, A195:M195, 0))</f>
        <v>3470</v>
      </c>
    </row>
    <row r="197" spans="1:28" x14ac:dyDescent="0.3">
      <c r="A197" s="2">
        <v>44567</v>
      </c>
      <c r="B197" s="1">
        <v>3491.1499020000001</v>
      </c>
      <c r="C197" s="1">
        <v>3537.5500489999999</v>
      </c>
      <c r="D197" s="1">
        <v>3452.1499020000001</v>
      </c>
      <c r="E197" s="1">
        <v>3514.6499020000001</v>
      </c>
      <c r="F197" s="1">
        <v>3514.6499020000001</v>
      </c>
      <c r="G197" s="1">
        <v>1312743</v>
      </c>
      <c r="H197" s="1">
        <v>4669.1000979999999</v>
      </c>
      <c r="I197" s="1">
        <v>4716</v>
      </c>
      <c r="J197" s="1">
        <v>4642.6499020000001</v>
      </c>
      <c r="K197" s="1">
        <v>4705.6499020000001</v>
      </c>
      <c r="L197" s="1">
        <v>4705.6499020000001</v>
      </c>
      <c r="M197" s="1">
        <v>361505</v>
      </c>
      <c r="Z197" s="2">
        <v>44567</v>
      </c>
      <c r="AA197" s="1">
        <f>INDEX($A:$M, MATCH(Z197, $A:$A, 0), MATCH($AA$1, $A$1:$M$1, 0))</f>
        <v>4669.1000979999999</v>
      </c>
      <c r="AB197" s="1">
        <f>INDEX(A:M, MATCH(Z197, A:A, 0), MATCH(AB196, A196:M196, 0))</f>
        <v>3491.1499020000001</v>
      </c>
    </row>
    <row r="198" spans="1:28" x14ac:dyDescent="0.3">
      <c r="A198" s="2">
        <v>44568</v>
      </c>
      <c r="B198" s="1">
        <v>3514.6499020000001</v>
      </c>
      <c r="C198" s="1">
        <v>3582</v>
      </c>
      <c r="D198" s="1">
        <v>3496.5500489999999</v>
      </c>
      <c r="E198" s="1">
        <v>3576.3000489999999</v>
      </c>
      <c r="F198" s="1">
        <v>3576.3000489999999</v>
      </c>
      <c r="G198" s="1">
        <v>964364</v>
      </c>
      <c r="H198" s="1">
        <v>4715</v>
      </c>
      <c r="I198" s="1">
        <v>4748</v>
      </c>
      <c r="J198" s="1">
        <v>4696.1499020000001</v>
      </c>
      <c r="K198" s="1">
        <v>4731.3500979999999</v>
      </c>
      <c r="L198" s="1">
        <v>4731.3500979999999</v>
      </c>
      <c r="M198" s="1">
        <v>301517</v>
      </c>
      <c r="Z198" s="2">
        <v>44568</v>
      </c>
      <c r="AA198" s="1">
        <f>INDEX($A:$M, MATCH(Z198, $A:$A, 0), MATCH($AA$1, $A$1:$M$1, 0))</f>
        <v>4715</v>
      </c>
      <c r="AB198" s="1">
        <f>INDEX(A:M, MATCH(Z198, A:A, 0), MATCH(AB197, A197:M197, 0))</f>
        <v>3514.6499020000001</v>
      </c>
    </row>
    <row r="199" spans="1:28" x14ac:dyDescent="0.3">
      <c r="A199" s="2">
        <v>44571</v>
      </c>
      <c r="B199" s="1">
        <v>3580</v>
      </c>
      <c r="C199" s="1">
        <v>3590</v>
      </c>
      <c r="D199" s="1">
        <v>3527</v>
      </c>
      <c r="E199" s="1">
        <v>3553.5</v>
      </c>
      <c r="F199" s="1">
        <v>3553.5</v>
      </c>
      <c r="G199" s="1">
        <v>657511</v>
      </c>
      <c r="H199" s="1">
        <v>4784.8999020000001</v>
      </c>
      <c r="I199" s="1">
        <v>4784.8999020000001</v>
      </c>
      <c r="J199" s="1">
        <v>4620</v>
      </c>
      <c r="K199" s="1">
        <v>4633.5498049999997</v>
      </c>
      <c r="L199" s="1">
        <v>4633.5498049999997</v>
      </c>
      <c r="M199" s="1">
        <v>1037618</v>
      </c>
      <c r="Z199" s="2">
        <v>44571</v>
      </c>
      <c r="AA199" s="1">
        <f>INDEX($A:$M, MATCH(Z199, $A:$A, 0), MATCH($AA$1, $A$1:$M$1, 0))</f>
        <v>4784.8999020000001</v>
      </c>
      <c r="AB199" s="1">
        <f>INDEX(A:M, MATCH(Z199, A:A, 0), MATCH(AB198, A198:M198, 0))</f>
        <v>3580</v>
      </c>
    </row>
    <row r="200" spans="1:28" x14ac:dyDescent="0.3">
      <c r="A200" s="2">
        <v>44572</v>
      </c>
      <c r="B200" s="1">
        <v>3550.6000979999999</v>
      </c>
      <c r="C200" s="1">
        <v>3564</v>
      </c>
      <c r="D200" s="1">
        <v>3495.0500489999999</v>
      </c>
      <c r="E200" s="1">
        <v>3538.75</v>
      </c>
      <c r="F200" s="1">
        <v>3538.75</v>
      </c>
      <c r="G200" s="1">
        <v>734344</v>
      </c>
      <c r="H200" s="1">
        <v>4649</v>
      </c>
      <c r="I200" s="1">
        <v>4654.8999020000001</v>
      </c>
      <c r="J200" s="1">
        <v>4499</v>
      </c>
      <c r="K200" s="1">
        <v>4504.8999020000001</v>
      </c>
      <c r="L200" s="1">
        <v>4504.8999020000001</v>
      </c>
      <c r="M200" s="1">
        <v>791417</v>
      </c>
      <c r="Z200" s="2">
        <v>44572</v>
      </c>
      <c r="AA200" s="1">
        <f>INDEX($A:$M, MATCH(Z200, $A:$A, 0), MATCH($AA$1, $A$1:$M$1, 0))</f>
        <v>4649</v>
      </c>
      <c r="AB200" s="1">
        <f>INDEX(A:M, MATCH(Z200, A:A, 0), MATCH(AB199, A199:M199, 0))</f>
        <v>3550.6000979999999</v>
      </c>
    </row>
    <row r="201" spans="1:28" x14ac:dyDescent="0.3">
      <c r="A201" s="2">
        <v>44573</v>
      </c>
      <c r="B201" s="1">
        <v>3556.8999020000001</v>
      </c>
      <c r="C201" s="1">
        <v>3582.4499510000001</v>
      </c>
      <c r="D201" s="1">
        <v>3534</v>
      </c>
      <c r="E201" s="1">
        <v>3543.8000489999999</v>
      </c>
      <c r="F201" s="1">
        <v>3543.8000489999999</v>
      </c>
      <c r="G201" s="1">
        <v>594543</v>
      </c>
      <c r="H201" s="1">
        <v>4500</v>
      </c>
      <c r="I201" s="1">
        <v>4500</v>
      </c>
      <c r="J201" s="1">
        <v>4165.2998049999997</v>
      </c>
      <c r="K201" s="1">
        <v>4276.1000979999999</v>
      </c>
      <c r="L201" s="1">
        <v>4276.1000979999999</v>
      </c>
      <c r="M201" s="1">
        <v>2521043</v>
      </c>
      <c r="Z201" s="2">
        <v>44573</v>
      </c>
      <c r="AA201" s="1">
        <f>INDEX($A:$M, MATCH(Z201, $A:$A, 0), MATCH($AA$1, $A$1:$M$1, 0))</f>
        <v>4500</v>
      </c>
      <c r="AB201" s="1">
        <f>INDEX(A:M, MATCH(Z201, A:A, 0), MATCH(AB200, A200:M200, 0))</f>
        <v>3556.8999020000001</v>
      </c>
    </row>
    <row r="202" spans="1:28" x14ac:dyDescent="0.3">
      <c r="A202" s="2">
        <v>44574</v>
      </c>
      <c r="B202" s="1">
        <v>3560</v>
      </c>
      <c r="C202" s="1">
        <v>3560</v>
      </c>
      <c r="D202" s="1">
        <v>3450</v>
      </c>
      <c r="E202" s="1">
        <v>3456.25</v>
      </c>
      <c r="F202" s="1">
        <v>3456.25</v>
      </c>
      <c r="G202" s="1">
        <v>1153984</v>
      </c>
      <c r="H202" s="1">
        <v>4276</v>
      </c>
      <c r="I202" s="1">
        <v>4354.4501950000003</v>
      </c>
      <c r="J202" s="1">
        <v>4221.6000979999999</v>
      </c>
      <c r="K202" s="1">
        <v>4254.6000979999999</v>
      </c>
      <c r="L202" s="1">
        <v>4254.6000979999999</v>
      </c>
      <c r="M202" s="1">
        <v>1090010</v>
      </c>
      <c r="Z202" s="2">
        <v>44574</v>
      </c>
      <c r="AA202" s="1">
        <f>INDEX($A:$M, MATCH(Z202, $A:$A, 0), MATCH($AA$1, $A$1:$M$1, 0))</f>
        <v>4276</v>
      </c>
      <c r="AB202" s="1">
        <f>INDEX(A:M, MATCH(Z202, A:A, 0), MATCH(AB201, A201:M201, 0))</f>
        <v>3560</v>
      </c>
    </row>
    <row r="203" spans="1:28" x14ac:dyDescent="0.3">
      <c r="A203" s="2">
        <v>44575</v>
      </c>
      <c r="B203" s="1">
        <v>3462</v>
      </c>
      <c r="C203" s="1">
        <v>3462</v>
      </c>
      <c r="D203" s="1">
        <v>3346</v>
      </c>
      <c r="E203" s="1">
        <v>3364.3999020000001</v>
      </c>
      <c r="F203" s="1">
        <v>3364.3999020000001</v>
      </c>
      <c r="G203" s="1">
        <v>1558978</v>
      </c>
      <c r="H203" s="1">
        <v>4266</v>
      </c>
      <c r="I203" s="1">
        <v>4344.4501950000003</v>
      </c>
      <c r="J203" s="1">
        <v>4256.1499020000001</v>
      </c>
      <c r="K203" s="1">
        <v>4322.7001950000003</v>
      </c>
      <c r="L203" s="1">
        <v>4322.7001950000003</v>
      </c>
      <c r="M203" s="1">
        <v>896929</v>
      </c>
      <c r="Z203" s="2">
        <v>44575</v>
      </c>
      <c r="AA203" s="1">
        <f>INDEX($A:$M, MATCH(Z203, $A:$A, 0), MATCH($AA$1, $A$1:$M$1, 0))</f>
        <v>4266</v>
      </c>
      <c r="AB203" s="1">
        <f>INDEX(A:M, MATCH(Z203, A:A, 0), MATCH(AB202, A202:M202, 0))</f>
        <v>3462</v>
      </c>
    </row>
    <row r="204" spans="1:28" x14ac:dyDescent="0.3">
      <c r="A204" s="2">
        <v>44578</v>
      </c>
      <c r="B204" s="1">
        <v>3364.3999020000001</v>
      </c>
      <c r="C204" s="1">
        <v>3399</v>
      </c>
      <c r="D204" s="1">
        <v>3321</v>
      </c>
      <c r="E204" s="1">
        <v>3378.6499020000001</v>
      </c>
      <c r="F204" s="1">
        <v>3378.6499020000001</v>
      </c>
      <c r="G204" s="1">
        <v>1103159</v>
      </c>
      <c r="H204" s="1">
        <v>4365</v>
      </c>
      <c r="I204" s="1">
        <v>4414</v>
      </c>
      <c r="J204" s="1">
        <v>4290.4501950000003</v>
      </c>
      <c r="K204" s="1">
        <v>4400.5</v>
      </c>
      <c r="L204" s="1">
        <v>4400.5</v>
      </c>
      <c r="M204" s="1">
        <v>870335</v>
      </c>
      <c r="Z204" s="2">
        <v>44578</v>
      </c>
      <c r="AA204" s="1">
        <f>INDEX($A:$M, MATCH(Z204, $A:$A, 0), MATCH($AA$1, $A$1:$M$1, 0))</f>
        <v>4365</v>
      </c>
      <c r="AB204" s="1">
        <f>INDEX(A:M, MATCH(Z204, A:A, 0), MATCH(AB203, A203:M203, 0))</f>
        <v>3364.3999020000001</v>
      </c>
    </row>
    <row r="205" spans="1:28" x14ac:dyDescent="0.3">
      <c r="A205" s="2">
        <v>44579</v>
      </c>
      <c r="B205" s="1">
        <v>3379.0500489999999</v>
      </c>
      <c r="C205" s="1">
        <v>3396.4499510000001</v>
      </c>
      <c r="D205" s="1">
        <v>3351</v>
      </c>
      <c r="E205" s="1">
        <v>3373.6999510000001</v>
      </c>
      <c r="F205" s="1">
        <v>3373.6999510000001</v>
      </c>
      <c r="G205" s="1">
        <v>558543</v>
      </c>
      <c r="H205" s="1">
        <v>4425</v>
      </c>
      <c r="I205" s="1">
        <v>4500</v>
      </c>
      <c r="J205" s="1">
        <v>4381</v>
      </c>
      <c r="K205" s="1">
        <v>4441.1499020000001</v>
      </c>
      <c r="L205" s="1">
        <v>4441.1499020000001</v>
      </c>
      <c r="M205" s="1">
        <v>940894</v>
      </c>
      <c r="Z205" s="2">
        <v>44579</v>
      </c>
      <c r="AA205" s="1">
        <f>INDEX($A:$M, MATCH(Z205, $A:$A, 0), MATCH($AA$1, $A$1:$M$1, 0))</f>
        <v>4425</v>
      </c>
      <c r="AB205" s="1">
        <f>INDEX(A:M, MATCH(Z205, A:A, 0), MATCH(AB204, A204:M204, 0))</f>
        <v>3379.0500489999999</v>
      </c>
    </row>
    <row r="206" spans="1:28" x14ac:dyDescent="0.3">
      <c r="A206" s="2">
        <v>44580</v>
      </c>
      <c r="B206" s="1">
        <v>3370</v>
      </c>
      <c r="C206" s="1">
        <v>3370</v>
      </c>
      <c r="D206" s="1">
        <v>3267.75</v>
      </c>
      <c r="E206" s="1">
        <v>3280.3999020000001</v>
      </c>
      <c r="F206" s="1">
        <v>3280.3999020000001</v>
      </c>
      <c r="G206" s="1">
        <v>1495218</v>
      </c>
      <c r="H206" s="1">
        <v>4459</v>
      </c>
      <c r="I206" s="1">
        <v>4505</v>
      </c>
      <c r="J206" s="1">
        <v>4365</v>
      </c>
      <c r="K206" s="1">
        <v>4483.3999020000001</v>
      </c>
      <c r="L206" s="1">
        <v>4483.3999020000001</v>
      </c>
      <c r="M206" s="1">
        <v>579886</v>
      </c>
      <c r="Z206" s="2">
        <v>44580</v>
      </c>
      <c r="AA206" s="1">
        <f>INDEX($A:$M, MATCH(Z206, $A:$A, 0), MATCH($AA$1, $A$1:$M$1, 0))</f>
        <v>4459</v>
      </c>
      <c r="AB206" s="1">
        <f>INDEX(A:M, MATCH(Z206, A:A, 0), MATCH(AB205, A205:M205, 0))</f>
        <v>3370</v>
      </c>
    </row>
    <row r="207" spans="1:28" x14ac:dyDescent="0.3">
      <c r="A207" s="2">
        <v>44581</v>
      </c>
      <c r="B207" s="1">
        <v>3282</v>
      </c>
      <c r="C207" s="1">
        <v>3364.8999020000001</v>
      </c>
      <c r="D207" s="1">
        <v>3222</v>
      </c>
      <c r="E207" s="1">
        <v>3306.3999020000001</v>
      </c>
      <c r="F207" s="1">
        <v>3306.3999020000001</v>
      </c>
      <c r="G207" s="1">
        <v>3075678</v>
      </c>
      <c r="H207" s="1">
        <v>4517</v>
      </c>
      <c r="I207" s="1">
        <v>4517</v>
      </c>
      <c r="J207" s="1">
        <v>4462.3500979999999</v>
      </c>
      <c r="K207" s="1">
        <v>4483.5498049999997</v>
      </c>
      <c r="L207" s="1">
        <v>4483.5498049999997</v>
      </c>
      <c r="M207" s="1">
        <v>350124</v>
      </c>
      <c r="Z207" s="2">
        <v>44581</v>
      </c>
      <c r="AA207" s="1">
        <f>INDEX($A:$M, MATCH(Z207, $A:$A, 0), MATCH($AA$1, $A$1:$M$1, 0))</f>
        <v>4517</v>
      </c>
      <c r="AB207" s="1">
        <f>INDEX(A:M, MATCH(Z207, A:A, 0), MATCH(AB206, A206:M206, 0))</f>
        <v>3282</v>
      </c>
    </row>
    <row r="208" spans="1:28" x14ac:dyDescent="0.3">
      <c r="A208" s="2">
        <v>44582</v>
      </c>
      <c r="B208" s="1">
        <v>3300.0500489999999</v>
      </c>
      <c r="C208" s="1">
        <v>3324.9499510000001</v>
      </c>
      <c r="D208" s="1">
        <v>3241.75</v>
      </c>
      <c r="E208" s="1">
        <v>3274.8500979999999</v>
      </c>
      <c r="F208" s="1">
        <v>3274.8500979999999</v>
      </c>
      <c r="G208" s="1">
        <v>1441694</v>
      </c>
      <c r="H208" s="1">
        <v>4410</v>
      </c>
      <c r="I208" s="1">
        <v>4435.4501950000003</v>
      </c>
      <c r="J208" s="1">
        <v>4281</v>
      </c>
      <c r="K208" s="1">
        <v>4299.7998049999997</v>
      </c>
      <c r="L208" s="1">
        <v>4299.7998049999997</v>
      </c>
      <c r="M208" s="1">
        <v>606584</v>
      </c>
      <c r="Z208" s="2">
        <v>44582</v>
      </c>
      <c r="AA208" s="1">
        <f>INDEX($A:$M, MATCH(Z208, $A:$A, 0), MATCH($AA$1, $A$1:$M$1, 0))</f>
        <v>4410</v>
      </c>
      <c r="AB208" s="1">
        <f>INDEX(A:M, MATCH(Z208, A:A, 0), MATCH(AB207, A207:M207, 0))</f>
        <v>3300.0500489999999</v>
      </c>
    </row>
    <row r="209" spans="1:28" x14ac:dyDescent="0.3">
      <c r="A209" s="2">
        <v>44585</v>
      </c>
      <c r="B209" s="1">
        <v>3268</v>
      </c>
      <c r="C209" s="1">
        <v>3270</v>
      </c>
      <c r="D209" s="1">
        <v>3135</v>
      </c>
      <c r="E209" s="1">
        <v>3155.1499020000001</v>
      </c>
      <c r="F209" s="1">
        <v>3155.1499020000001</v>
      </c>
      <c r="G209" s="1">
        <v>1575665</v>
      </c>
      <c r="H209" s="1">
        <v>4300</v>
      </c>
      <c r="I209" s="1">
        <v>4316.8999020000001</v>
      </c>
      <c r="J209" s="1">
        <v>3978</v>
      </c>
      <c r="K209" s="1">
        <v>4035.3000489999999</v>
      </c>
      <c r="L209" s="1">
        <v>4035.3000489999999</v>
      </c>
      <c r="M209" s="1">
        <v>1126974</v>
      </c>
      <c r="Z209" s="2">
        <v>44585</v>
      </c>
      <c r="AA209" s="1">
        <f>INDEX($A:$M, MATCH(Z209, $A:$A, 0), MATCH($AA$1, $A$1:$M$1, 0))</f>
        <v>4300</v>
      </c>
      <c r="AB209" s="1">
        <f>INDEX(A:M, MATCH(Z209, A:A, 0), MATCH(AB208, A208:M208, 0))</f>
        <v>3268</v>
      </c>
    </row>
    <row r="210" spans="1:28" x14ac:dyDescent="0.3">
      <c r="A210" s="2">
        <v>44586</v>
      </c>
      <c r="B210" s="1">
        <v>3100</v>
      </c>
      <c r="C210" s="1">
        <v>3156.9499510000001</v>
      </c>
      <c r="D210" s="1">
        <v>3010.75</v>
      </c>
      <c r="E210" s="1">
        <v>3147.1000979999999</v>
      </c>
      <c r="F210" s="1">
        <v>3147.1000979999999</v>
      </c>
      <c r="G210" s="1">
        <v>2699779</v>
      </c>
      <c r="H210" s="1">
        <v>4025</v>
      </c>
      <c r="I210" s="1">
        <v>4120</v>
      </c>
      <c r="J210" s="1">
        <v>3881.25</v>
      </c>
      <c r="K210" s="1">
        <v>4095.4499510000001</v>
      </c>
      <c r="L210" s="1">
        <v>4095.4499510000001</v>
      </c>
      <c r="M210" s="1">
        <v>810518</v>
      </c>
      <c r="Z210" s="2">
        <v>44586</v>
      </c>
      <c r="AA210" s="1">
        <f>INDEX($A:$M, MATCH(Z210, $A:$A, 0), MATCH($AA$1, $A$1:$M$1, 0))</f>
        <v>4025</v>
      </c>
      <c r="AB210" s="1">
        <f>INDEX(A:M, MATCH(Z210, A:A, 0), MATCH(AB209, A209:M209, 0))</f>
        <v>3100</v>
      </c>
    </row>
    <row r="211" spans="1:28" x14ac:dyDescent="0.3">
      <c r="A211" s="2">
        <v>44588</v>
      </c>
      <c r="B211" s="1">
        <v>3140.1000979999999</v>
      </c>
      <c r="C211" s="1">
        <v>3143</v>
      </c>
      <c r="D211" s="1">
        <v>3071.25</v>
      </c>
      <c r="E211" s="1">
        <v>3116.9499510000001</v>
      </c>
      <c r="F211" s="1">
        <v>3116.9499510000001</v>
      </c>
      <c r="G211" s="1">
        <v>1834684</v>
      </c>
      <c r="H211" s="1">
        <v>4040</v>
      </c>
      <c r="I211" s="1">
        <v>4144.1000979999999</v>
      </c>
      <c r="J211" s="1">
        <v>3994.9499510000001</v>
      </c>
      <c r="K211" s="1">
        <v>4063.3000489999999</v>
      </c>
      <c r="L211" s="1">
        <v>4063.3000489999999</v>
      </c>
      <c r="M211" s="1">
        <v>675652</v>
      </c>
      <c r="Z211" s="2">
        <v>44588</v>
      </c>
      <c r="AA211" s="1">
        <f>INDEX($A:$M, MATCH(Z211, $A:$A, 0), MATCH($AA$1, $A$1:$M$1, 0))</f>
        <v>4040</v>
      </c>
      <c r="AB211" s="1">
        <f>INDEX(A:M, MATCH(Z211, A:A, 0), MATCH(AB210, A210:M210, 0))</f>
        <v>3140.1000979999999</v>
      </c>
    </row>
    <row r="212" spans="1:28" x14ac:dyDescent="0.3">
      <c r="A212" s="2">
        <v>44589</v>
      </c>
      <c r="B212" s="1">
        <v>3130</v>
      </c>
      <c r="C212" s="1">
        <v>3170</v>
      </c>
      <c r="D212" s="1">
        <v>3103</v>
      </c>
      <c r="E212" s="1">
        <v>3110.8500979999999</v>
      </c>
      <c r="F212" s="1">
        <v>3110.8500979999999</v>
      </c>
      <c r="G212" s="1">
        <v>892060</v>
      </c>
      <c r="H212" s="1">
        <v>4130</v>
      </c>
      <c r="I212" s="1">
        <v>4150.8999020000001</v>
      </c>
      <c r="J212" s="1">
        <v>4046</v>
      </c>
      <c r="K212" s="1">
        <v>4076</v>
      </c>
      <c r="L212" s="1">
        <v>4076</v>
      </c>
      <c r="M212" s="1">
        <v>582484</v>
      </c>
      <c r="Z212" s="2">
        <v>44589</v>
      </c>
      <c r="AA212" s="1">
        <f>INDEX($A:$M, MATCH(Z212, $A:$A, 0), MATCH($AA$1, $A$1:$M$1, 0))</f>
        <v>4130</v>
      </c>
      <c r="AB212" s="1">
        <f>INDEX(A:M, MATCH(Z212, A:A, 0), MATCH(AB211, A211:M211, 0))</f>
        <v>3130</v>
      </c>
    </row>
    <row r="213" spans="1:28" x14ac:dyDescent="0.3">
      <c r="A213" s="2">
        <v>44592</v>
      </c>
      <c r="B213" s="1">
        <v>3140</v>
      </c>
      <c r="C213" s="1">
        <v>3193.4499510000001</v>
      </c>
      <c r="D213" s="1">
        <v>3136.3999020000001</v>
      </c>
      <c r="E213" s="1">
        <v>3152.25</v>
      </c>
      <c r="F213" s="1">
        <v>3152.25</v>
      </c>
      <c r="G213" s="1">
        <v>944530</v>
      </c>
      <c r="H213" s="1">
        <v>4140</v>
      </c>
      <c r="I213" s="1">
        <v>4171</v>
      </c>
      <c r="J213" s="1">
        <v>4092</v>
      </c>
      <c r="K213" s="1">
        <v>4114.3500979999999</v>
      </c>
      <c r="L213" s="1">
        <v>4114.3500979999999</v>
      </c>
      <c r="M213" s="1">
        <v>478099</v>
      </c>
      <c r="Z213" s="2">
        <v>44592</v>
      </c>
      <c r="AA213" s="1">
        <f>INDEX($A:$M, MATCH(Z213, $A:$A, 0), MATCH($AA$1, $A$1:$M$1, 0))</f>
        <v>4140</v>
      </c>
      <c r="AB213" s="1">
        <f>INDEX(A:M, MATCH(Z213, A:A, 0), MATCH(AB212, A212:M212, 0))</f>
        <v>3140</v>
      </c>
    </row>
    <row r="214" spans="1:28" x14ac:dyDescent="0.3">
      <c r="A214" s="2">
        <v>44593</v>
      </c>
      <c r="B214" s="1">
        <v>3194</v>
      </c>
      <c r="C214" s="1">
        <v>3212.3500979999999</v>
      </c>
      <c r="D214" s="1">
        <v>3141.6000979999999</v>
      </c>
      <c r="E214" s="1">
        <v>3196.25</v>
      </c>
      <c r="F214" s="1">
        <v>3196.25</v>
      </c>
      <c r="G214" s="1">
        <v>1008915</v>
      </c>
      <c r="H214" s="1">
        <v>4133.2001950000003</v>
      </c>
      <c r="I214" s="1">
        <v>4278</v>
      </c>
      <c r="J214" s="1">
        <v>4092</v>
      </c>
      <c r="K214" s="1">
        <v>4225.6000979999999</v>
      </c>
      <c r="L214" s="1">
        <v>4225.6000979999999</v>
      </c>
      <c r="M214" s="1">
        <v>321735</v>
      </c>
      <c r="Z214" s="2">
        <v>44593</v>
      </c>
      <c r="AA214" s="1">
        <f>INDEX($A:$M, MATCH(Z214, $A:$A, 0), MATCH($AA$1, $A$1:$M$1, 0))</f>
        <v>4133.2001950000003</v>
      </c>
      <c r="AB214" s="1">
        <f>INDEX(A:M, MATCH(Z214, A:A, 0), MATCH(AB213, A213:M213, 0))</f>
        <v>3194</v>
      </c>
    </row>
    <row r="215" spans="1:28" x14ac:dyDescent="0.3">
      <c r="A215" s="2">
        <v>44594</v>
      </c>
      <c r="B215" s="1">
        <v>3204.8000489999999</v>
      </c>
      <c r="C215" s="1">
        <v>3244.1499020000001</v>
      </c>
      <c r="D215" s="1">
        <v>3192.1499020000001</v>
      </c>
      <c r="E215" s="1">
        <v>3197.6999510000001</v>
      </c>
      <c r="F215" s="1">
        <v>3197.6999510000001</v>
      </c>
      <c r="G215" s="1">
        <v>667265</v>
      </c>
      <c r="H215" s="1">
        <v>4274.2998049999997</v>
      </c>
      <c r="I215" s="1">
        <v>4275</v>
      </c>
      <c r="J215" s="1">
        <v>4211</v>
      </c>
      <c r="K215" s="1">
        <v>4236.6499020000001</v>
      </c>
      <c r="L215" s="1">
        <v>4236.6499020000001</v>
      </c>
      <c r="M215" s="1">
        <v>249200</v>
      </c>
      <c r="Z215" s="2">
        <v>44594</v>
      </c>
      <c r="AA215" s="1">
        <f>INDEX($A:$M, MATCH(Z215, $A:$A, 0), MATCH($AA$1, $A$1:$M$1, 0))</f>
        <v>4274.2998049999997</v>
      </c>
      <c r="AB215" s="1">
        <f>INDEX(A:M, MATCH(Z215, A:A, 0), MATCH(AB214, A214:M214, 0))</f>
        <v>3204.8000489999999</v>
      </c>
    </row>
    <row r="216" spans="1:28" x14ac:dyDescent="0.3">
      <c r="A216" s="2">
        <v>44595</v>
      </c>
      <c r="B216" s="1">
        <v>3212.8500979999999</v>
      </c>
      <c r="C216" s="1">
        <v>3241.6000979999999</v>
      </c>
      <c r="D216" s="1">
        <v>3190.1999510000001</v>
      </c>
      <c r="E216" s="1">
        <v>3203</v>
      </c>
      <c r="F216" s="1">
        <v>3203</v>
      </c>
      <c r="G216" s="1">
        <v>899753</v>
      </c>
      <c r="H216" s="1">
        <v>4231.0498049999997</v>
      </c>
      <c r="I216" s="1">
        <v>4235</v>
      </c>
      <c r="J216" s="1">
        <v>4122.3500979999999</v>
      </c>
      <c r="K216" s="1">
        <v>4140</v>
      </c>
      <c r="L216" s="1">
        <v>4140</v>
      </c>
      <c r="M216" s="1">
        <v>337719</v>
      </c>
      <c r="Z216" s="2">
        <v>44595</v>
      </c>
      <c r="AA216" s="1">
        <f>INDEX($A:$M, MATCH(Z216, $A:$A, 0), MATCH($AA$1, $A$1:$M$1, 0))</f>
        <v>4231.0498049999997</v>
      </c>
      <c r="AB216" s="1">
        <f>INDEX(A:M, MATCH(Z216, A:A, 0), MATCH(AB215, A215:M215, 0))</f>
        <v>3212.8500979999999</v>
      </c>
    </row>
    <row r="217" spans="1:28" x14ac:dyDescent="0.3">
      <c r="A217" s="2">
        <v>44596</v>
      </c>
      <c r="B217" s="1">
        <v>3188</v>
      </c>
      <c r="C217" s="1">
        <v>3248.8000489999999</v>
      </c>
      <c r="D217" s="1">
        <v>3176.0500489999999</v>
      </c>
      <c r="E217" s="1">
        <v>3236.6499020000001</v>
      </c>
      <c r="F217" s="1">
        <v>3236.6499020000001</v>
      </c>
      <c r="G217" s="1">
        <v>705765</v>
      </c>
      <c r="H217" s="1">
        <v>4140</v>
      </c>
      <c r="I217" s="1">
        <v>4140.2001950000003</v>
      </c>
      <c r="J217" s="1">
        <v>4075</v>
      </c>
      <c r="K217" s="1">
        <v>4081.8999020000001</v>
      </c>
      <c r="L217" s="1">
        <v>4081.8999020000001</v>
      </c>
      <c r="M217" s="1">
        <v>299981</v>
      </c>
      <c r="Z217" s="2">
        <v>44596</v>
      </c>
      <c r="AA217" s="1">
        <f>INDEX($A:$M, MATCH(Z217, $A:$A, 0), MATCH($AA$1, $A$1:$M$1, 0))</f>
        <v>4140</v>
      </c>
      <c r="AB217" s="1">
        <f>INDEX(A:M, MATCH(Z217, A:A, 0), MATCH(AB216, A216:M216, 0))</f>
        <v>3188</v>
      </c>
    </row>
    <row r="218" spans="1:28" x14ac:dyDescent="0.3">
      <c r="A218" s="2">
        <v>44599</v>
      </c>
      <c r="B218" s="1">
        <v>3234</v>
      </c>
      <c r="C218" s="1">
        <v>3251.1999510000001</v>
      </c>
      <c r="D218" s="1">
        <v>3143.1000979999999</v>
      </c>
      <c r="E218" s="1">
        <v>3174.6999510000001</v>
      </c>
      <c r="F218" s="1">
        <v>3174.6999510000001</v>
      </c>
      <c r="G218" s="1">
        <v>860393</v>
      </c>
      <c r="H218" s="1">
        <v>4090</v>
      </c>
      <c r="I218" s="1">
        <v>4146.7998049999997</v>
      </c>
      <c r="J218" s="1">
        <v>4045.1999510000001</v>
      </c>
      <c r="K218" s="1">
        <v>4073.5500489999999</v>
      </c>
      <c r="L218" s="1">
        <v>4073.5500489999999</v>
      </c>
      <c r="M218" s="1">
        <v>288091</v>
      </c>
      <c r="Z218" s="2">
        <v>44599</v>
      </c>
      <c r="AA218" s="1">
        <f>INDEX($A:$M, MATCH(Z218, $A:$A, 0), MATCH($AA$1, $A$1:$M$1, 0))</f>
        <v>4090</v>
      </c>
      <c r="AB218" s="1">
        <f>INDEX(A:M, MATCH(Z218, A:A, 0), MATCH(AB217, A217:M217, 0))</f>
        <v>3234</v>
      </c>
    </row>
    <row r="219" spans="1:28" x14ac:dyDescent="0.3">
      <c r="A219" s="2">
        <v>44600</v>
      </c>
      <c r="B219" s="1">
        <v>3179</v>
      </c>
      <c r="C219" s="1">
        <v>3223.5</v>
      </c>
      <c r="D219" s="1">
        <v>3166.1999510000001</v>
      </c>
      <c r="E219" s="1">
        <v>3216.3500979999999</v>
      </c>
      <c r="F219" s="1">
        <v>3216.3500979999999</v>
      </c>
      <c r="G219" s="1">
        <v>799206</v>
      </c>
      <c r="H219" s="1">
        <v>4098.8999020000001</v>
      </c>
      <c r="I219" s="1">
        <v>4128.9501950000003</v>
      </c>
      <c r="J219" s="1">
        <v>3995</v>
      </c>
      <c r="K219" s="1">
        <v>4015</v>
      </c>
      <c r="L219" s="1">
        <v>4015</v>
      </c>
      <c r="M219" s="1">
        <v>456874</v>
      </c>
      <c r="Z219" s="2">
        <v>44600</v>
      </c>
      <c r="AA219" s="1">
        <f>INDEX($A:$M, MATCH(Z219, $A:$A, 0), MATCH($AA$1, $A$1:$M$1, 0))</f>
        <v>4098.8999020000001</v>
      </c>
      <c r="AB219" s="1">
        <f>INDEX(A:M, MATCH(Z219, A:A, 0), MATCH(AB218, A218:M218, 0))</f>
        <v>3179</v>
      </c>
    </row>
    <row r="220" spans="1:28" x14ac:dyDescent="0.3">
      <c r="A220" s="2">
        <v>44601</v>
      </c>
      <c r="B220" s="1">
        <v>3230</v>
      </c>
      <c r="C220" s="1">
        <v>3259</v>
      </c>
      <c r="D220" s="1">
        <v>3222.75</v>
      </c>
      <c r="E220" s="1">
        <v>3228.3500979999999</v>
      </c>
      <c r="F220" s="1">
        <v>3228.3500979999999</v>
      </c>
      <c r="G220" s="1">
        <v>472725</v>
      </c>
      <c r="H220" s="1">
        <v>4078.6999510000001</v>
      </c>
      <c r="I220" s="1">
        <v>4078.6999510000001</v>
      </c>
      <c r="J220" s="1">
        <v>3983</v>
      </c>
      <c r="K220" s="1">
        <v>4002.1000979999999</v>
      </c>
      <c r="L220" s="1">
        <v>4002.1000979999999</v>
      </c>
      <c r="M220" s="1">
        <v>380364</v>
      </c>
      <c r="Z220" s="2">
        <v>44601</v>
      </c>
      <c r="AA220" s="1">
        <f>INDEX($A:$M, MATCH(Z220, $A:$A, 0), MATCH($AA$1, $A$1:$M$1, 0))</f>
        <v>4078.6999510000001</v>
      </c>
      <c r="AB220" s="1">
        <f>INDEX(A:M, MATCH(Z220, A:A, 0), MATCH(AB219, A219:M219, 0))</f>
        <v>3230</v>
      </c>
    </row>
    <row r="221" spans="1:28" x14ac:dyDescent="0.3">
      <c r="A221" s="2">
        <v>44602</v>
      </c>
      <c r="B221" s="1">
        <v>3220</v>
      </c>
      <c r="C221" s="1">
        <v>3248</v>
      </c>
      <c r="D221" s="1">
        <v>3176</v>
      </c>
      <c r="E221" s="1">
        <v>3238.75</v>
      </c>
      <c r="F221" s="1">
        <v>3238.75</v>
      </c>
      <c r="G221" s="1">
        <v>728666</v>
      </c>
      <c r="H221" s="1">
        <v>4034.1000979999999</v>
      </c>
      <c r="I221" s="1">
        <v>4182</v>
      </c>
      <c r="J221" s="1">
        <v>4001</v>
      </c>
      <c r="K221" s="1">
        <v>4162.7001950000003</v>
      </c>
      <c r="L221" s="1">
        <v>4162.7001950000003</v>
      </c>
      <c r="M221" s="1">
        <v>699250</v>
      </c>
      <c r="Z221" s="2">
        <v>44602</v>
      </c>
      <c r="AA221" s="1">
        <f>INDEX($A:$M, MATCH(Z221, $A:$A, 0), MATCH($AA$1, $A$1:$M$1, 0))</f>
        <v>4034.1000979999999</v>
      </c>
      <c r="AB221" s="1">
        <f>INDEX(A:M, MATCH(Z221, A:A, 0), MATCH(AB220, A220:M220, 0))</f>
        <v>3220</v>
      </c>
    </row>
    <row r="222" spans="1:28" x14ac:dyDescent="0.3">
      <c r="A222" s="2">
        <v>44603</v>
      </c>
      <c r="B222" s="1">
        <v>3229.9499510000001</v>
      </c>
      <c r="C222" s="1">
        <v>3229.9499510000001</v>
      </c>
      <c r="D222" s="1">
        <v>3182.5</v>
      </c>
      <c r="E222" s="1">
        <v>3216.3000489999999</v>
      </c>
      <c r="F222" s="1">
        <v>3216.3000489999999</v>
      </c>
      <c r="G222" s="1">
        <v>587840</v>
      </c>
      <c r="H222" s="1">
        <v>4138</v>
      </c>
      <c r="I222" s="1">
        <v>4157</v>
      </c>
      <c r="J222" s="1">
        <v>4080.1000979999999</v>
      </c>
      <c r="K222" s="1">
        <v>4142.25</v>
      </c>
      <c r="L222" s="1">
        <v>4142.25</v>
      </c>
      <c r="M222" s="1">
        <v>336884</v>
      </c>
      <c r="Z222" s="2">
        <v>44603</v>
      </c>
      <c r="AA222" s="1">
        <f>INDEX($A:$M, MATCH(Z222, $A:$A, 0), MATCH($AA$1, $A$1:$M$1, 0))</f>
        <v>4138</v>
      </c>
      <c r="AB222" s="1">
        <f>INDEX(A:M, MATCH(Z222, A:A, 0), MATCH(AB221, A221:M221, 0))</f>
        <v>3229.9499510000001</v>
      </c>
    </row>
    <row r="223" spans="1:28" x14ac:dyDescent="0.3">
      <c r="A223" s="2">
        <v>44606</v>
      </c>
      <c r="B223" s="1">
        <v>3140</v>
      </c>
      <c r="C223" s="1">
        <v>3182.6999510000001</v>
      </c>
      <c r="D223" s="1">
        <v>3120</v>
      </c>
      <c r="E223" s="1">
        <v>3143.4499510000001</v>
      </c>
      <c r="F223" s="1">
        <v>3143.4499510000001</v>
      </c>
      <c r="G223" s="1">
        <v>681236</v>
      </c>
      <c r="H223" s="1">
        <v>4015</v>
      </c>
      <c r="I223" s="1">
        <v>4125</v>
      </c>
      <c r="J223" s="1">
        <v>3958.0500489999999</v>
      </c>
      <c r="K223" s="1">
        <v>3979.75</v>
      </c>
      <c r="L223" s="1">
        <v>3979.75</v>
      </c>
      <c r="M223" s="1">
        <v>466101</v>
      </c>
      <c r="Z223" s="2">
        <v>44606</v>
      </c>
      <c r="AA223" s="1">
        <f>INDEX($A:$M, MATCH(Z223, $A:$A, 0), MATCH($AA$1, $A$1:$M$1, 0))</f>
        <v>4015</v>
      </c>
      <c r="AB223" s="1">
        <f>INDEX(A:M, MATCH(Z223, A:A, 0), MATCH(AB222, A222:M222, 0))</f>
        <v>3140</v>
      </c>
    </row>
    <row r="224" spans="1:28" x14ac:dyDescent="0.3">
      <c r="A224" s="2">
        <v>44607</v>
      </c>
      <c r="B224" s="1">
        <v>3140</v>
      </c>
      <c r="C224" s="1">
        <v>3270</v>
      </c>
      <c r="D224" s="1">
        <v>3132.8500979999999</v>
      </c>
      <c r="E224" s="1">
        <v>3264.6000979999999</v>
      </c>
      <c r="F224" s="1">
        <v>3264.6000979999999</v>
      </c>
      <c r="G224" s="1">
        <v>676844</v>
      </c>
      <c r="H224" s="1">
        <v>4015</v>
      </c>
      <c r="I224" s="1">
        <v>4128.8999020000001</v>
      </c>
      <c r="J224" s="1">
        <v>3980</v>
      </c>
      <c r="K224" s="1">
        <v>4081.75</v>
      </c>
      <c r="L224" s="1">
        <v>4081.75</v>
      </c>
      <c r="M224" s="1">
        <v>377212</v>
      </c>
      <c r="Z224" s="2">
        <v>44607</v>
      </c>
      <c r="AA224" s="1">
        <f>INDEX($A:$M, MATCH(Z224, $A:$A, 0), MATCH($AA$1, $A$1:$M$1, 0))</f>
        <v>4015</v>
      </c>
      <c r="AB224" s="1">
        <f>INDEX(A:M, MATCH(Z224, A:A, 0), MATCH(AB223, A223:M223, 0))</f>
        <v>3140</v>
      </c>
    </row>
    <row r="225" spans="1:28" x14ac:dyDescent="0.3">
      <c r="A225" s="2">
        <v>44608</v>
      </c>
      <c r="B225" s="1">
        <v>3280</v>
      </c>
      <c r="C225" s="1">
        <v>3285.1000979999999</v>
      </c>
      <c r="D225" s="1">
        <v>3223</v>
      </c>
      <c r="E225" s="1">
        <v>3252.8500979999999</v>
      </c>
      <c r="F225" s="1">
        <v>3252.8500979999999</v>
      </c>
      <c r="G225" s="1">
        <v>624320</v>
      </c>
      <c r="H225" s="1">
        <v>4139.8999020000001</v>
      </c>
      <c r="I225" s="1">
        <v>4155</v>
      </c>
      <c r="J225" s="1">
        <v>4035</v>
      </c>
      <c r="K225" s="1">
        <v>4051.1499020000001</v>
      </c>
      <c r="L225" s="1">
        <v>4051.1499020000001</v>
      </c>
      <c r="M225" s="1">
        <v>313236</v>
      </c>
      <c r="Z225" s="2">
        <v>44608</v>
      </c>
      <c r="AA225" s="1">
        <f>INDEX($A:$M, MATCH(Z225, $A:$A, 0), MATCH($AA$1, $A$1:$M$1, 0))</f>
        <v>4139.8999020000001</v>
      </c>
      <c r="AB225" s="1">
        <f>INDEX(A:M, MATCH(Z225, A:A, 0), MATCH(AB224, A224:M224, 0))</f>
        <v>3280</v>
      </c>
    </row>
    <row r="226" spans="1:28" x14ac:dyDescent="0.3">
      <c r="A226" s="2">
        <v>44609</v>
      </c>
      <c r="B226" s="1">
        <v>3273</v>
      </c>
      <c r="C226" s="1">
        <v>3294.9499510000001</v>
      </c>
      <c r="D226" s="1">
        <v>3236.3999020000001</v>
      </c>
      <c r="E226" s="1">
        <v>3265.8500979999999</v>
      </c>
      <c r="F226" s="1">
        <v>3265.8500979999999</v>
      </c>
      <c r="G226" s="1">
        <v>636735</v>
      </c>
      <c r="H226" s="1">
        <v>4095.6000979999999</v>
      </c>
      <c r="I226" s="1">
        <v>4152</v>
      </c>
      <c r="J226" s="1">
        <v>4080</v>
      </c>
      <c r="K226" s="1">
        <v>4115.3999020000001</v>
      </c>
      <c r="L226" s="1">
        <v>4115.3999020000001</v>
      </c>
      <c r="M226" s="1">
        <v>357259</v>
      </c>
      <c r="Z226" s="2">
        <v>44609</v>
      </c>
      <c r="AA226" s="1">
        <f>INDEX($A:$M, MATCH(Z226, $A:$A, 0), MATCH($AA$1, $A$1:$M$1, 0))</f>
        <v>4095.6000979999999</v>
      </c>
      <c r="AB226" s="1">
        <f>INDEX(A:M, MATCH(Z226, A:A, 0), MATCH(AB225, A225:M225, 0))</f>
        <v>3273</v>
      </c>
    </row>
    <row r="227" spans="1:28" x14ac:dyDescent="0.3">
      <c r="A227" s="2">
        <v>44610</v>
      </c>
      <c r="B227" s="1">
        <v>3236.1499020000001</v>
      </c>
      <c r="C227" s="1">
        <v>3272</v>
      </c>
      <c r="D227" s="1">
        <v>3230.0500489999999</v>
      </c>
      <c r="E227" s="1">
        <v>3258.4499510000001</v>
      </c>
      <c r="F227" s="1">
        <v>3258.4499510000001</v>
      </c>
      <c r="G227" s="1">
        <v>423801</v>
      </c>
      <c r="H227" s="1">
        <v>4098</v>
      </c>
      <c r="I227" s="1">
        <v>4121</v>
      </c>
      <c r="J227" s="1">
        <v>4056.0500489999999</v>
      </c>
      <c r="K227" s="1">
        <v>4073.1000979999999</v>
      </c>
      <c r="L227" s="1">
        <v>4073.1000979999999</v>
      </c>
      <c r="M227" s="1">
        <v>169496</v>
      </c>
      <c r="Z227" s="2">
        <v>44610</v>
      </c>
      <c r="AA227" s="1">
        <f>INDEX($A:$M, MATCH(Z227, $A:$A, 0), MATCH($AA$1, $A$1:$M$1, 0))</f>
        <v>4098</v>
      </c>
      <c r="AB227" s="1">
        <f>INDEX(A:M, MATCH(Z227, A:A, 0), MATCH(AB226, A226:M226, 0))</f>
        <v>3236.1499020000001</v>
      </c>
    </row>
    <row r="228" spans="1:28" x14ac:dyDescent="0.3">
      <c r="A228" s="2">
        <v>44613</v>
      </c>
      <c r="B228" s="1">
        <v>3235</v>
      </c>
      <c r="C228" s="1">
        <v>3278.4499510000001</v>
      </c>
      <c r="D228" s="1">
        <v>3204.1499020000001</v>
      </c>
      <c r="E228" s="1">
        <v>3251.6499020000001</v>
      </c>
      <c r="F228" s="1">
        <v>3251.6499020000001</v>
      </c>
      <c r="G228" s="1">
        <v>547472</v>
      </c>
      <c r="H228" s="1">
        <v>4048</v>
      </c>
      <c r="I228" s="1">
        <v>4170</v>
      </c>
      <c r="J228" s="1">
        <v>3990</v>
      </c>
      <c r="K228" s="1">
        <v>4096.6000979999999</v>
      </c>
      <c r="L228" s="1">
        <v>4096.6000979999999</v>
      </c>
      <c r="M228" s="1">
        <v>480541</v>
      </c>
      <c r="Z228" s="2">
        <v>44613</v>
      </c>
      <c r="AA228" s="1">
        <f>INDEX($A:$M, MATCH(Z228, $A:$A, 0), MATCH($AA$1, $A$1:$M$1, 0))</f>
        <v>4048</v>
      </c>
      <c r="AB228" s="1">
        <f>INDEX(A:M, MATCH(Z228, A:A, 0), MATCH(AB227, A227:M227, 0))</f>
        <v>3235</v>
      </c>
    </row>
    <row r="229" spans="1:28" x14ac:dyDescent="0.3">
      <c r="A229" s="2">
        <v>44614</v>
      </c>
      <c r="B229" s="1">
        <v>3120</v>
      </c>
      <c r="C229" s="1">
        <v>3236.8000489999999</v>
      </c>
      <c r="D229" s="1">
        <v>3120</v>
      </c>
      <c r="E229" s="1">
        <v>3227.1499020000001</v>
      </c>
      <c r="F229" s="1">
        <v>3227.1499020000001</v>
      </c>
      <c r="G229" s="1">
        <v>1147209</v>
      </c>
      <c r="H229" s="1">
        <v>4001</v>
      </c>
      <c r="I229" s="1">
        <v>4179</v>
      </c>
      <c r="J229" s="1">
        <v>3990</v>
      </c>
      <c r="K229" s="1">
        <v>4157.1000979999999</v>
      </c>
      <c r="L229" s="1">
        <v>4157.1000979999999</v>
      </c>
      <c r="M229" s="1">
        <v>484781</v>
      </c>
      <c r="Z229" s="2">
        <v>44614</v>
      </c>
      <c r="AA229" s="1">
        <f>INDEX($A:$M, MATCH(Z229, $A:$A, 0), MATCH($AA$1, $A$1:$M$1, 0))</f>
        <v>4001</v>
      </c>
      <c r="AB229" s="1">
        <f>INDEX(A:M, MATCH(Z229, A:A, 0), MATCH(AB228, A228:M228, 0))</f>
        <v>3120</v>
      </c>
    </row>
    <row r="230" spans="1:28" x14ac:dyDescent="0.3">
      <c r="A230" s="2">
        <v>44615</v>
      </c>
      <c r="B230" s="1">
        <v>3236.8999020000001</v>
      </c>
      <c r="C230" s="1">
        <v>3296.8999020000001</v>
      </c>
      <c r="D230" s="1">
        <v>3230</v>
      </c>
      <c r="E230" s="1">
        <v>3237.1999510000001</v>
      </c>
      <c r="F230" s="1">
        <v>3237.1999510000001</v>
      </c>
      <c r="G230" s="1">
        <v>935896</v>
      </c>
      <c r="H230" s="1">
        <v>4165</v>
      </c>
      <c r="I230" s="1">
        <v>4217.7001950000003</v>
      </c>
      <c r="J230" s="1">
        <v>4135</v>
      </c>
      <c r="K230" s="1">
        <v>4193.4501950000003</v>
      </c>
      <c r="L230" s="1">
        <v>4193.4501950000003</v>
      </c>
      <c r="M230" s="1">
        <v>360454</v>
      </c>
      <c r="Z230" s="2">
        <v>44615</v>
      </c>
      <c r="AA230" s="1">
        <f>INDEX($A:$M, MATCH(Z230, $A:$A, 0), MATCH($AA$1, $A$1:$M$1, 0))</f>
        <v>4165</v>
      </c>
      <c r="AB230" s="1">
        <f>INDEX(A:M, MATCH(Z230, A:A, 0), MATCH(AB229, A229:M229, 0))</f>
        <v>3236.8999020000001</v>
      </c>
    </row>
    <row r="231" spans="1:28" x14ac:dyDescent="0.3">
      <c r="A231" s="2">
        <v>44616</v>
      </c>
      <c r="B231" s="1">
        <v>3130</v>
      </c>
      <c r="C231" s="1">
        <v>3197.8000489999999</v>
      </c>
      <c r="D231" s="1">
        <v>3051.5</v>
      </c>
      <c r="E231" s="1">
        <v>3069.0500489999999</v>
      </c>
      <c r="F231" s="1">
        <v>3069.0500489999999</v>
      </c>
      <c r="G231" s="1">
        <v>1823450</v>
      </c>
      <c r="H231" s="1">
        <v>3993.8500979999999</v>
      </c>
      <c r="I231" s="1">
        <v>4131.9501950000003</v>
      </c>
      <c r="J231" s="1">
        <v>3947.8500979999999</v>
      </c>
      <c r="K231" s="1">
        <v>4014.6499020000001</v>
      </c>
      <c r="L231" s="1">
        <v>4014.6499020000001</v>
      </c>
      <c r="M231" s="1">
        <v>552288</v>
      </c>
      <c r="Z231" s="2">
        <v>44616</v>
      </c>
      <c r="AA231" s="1">
        <f>INDEX($A:$M, MATCH(Z231, $A:$A, 0), MATCH($AA$1, $A$1:$M$1, 0))</f>
        <v>3993.8500979999999</v>
      </c>
      <c r="AB231" s="1">
        <f>INDEX(A:M, MATCH(Z231, A:A, 0), MATCH(AB230, A230:M230, 0))</f>
        <v>3130</v>
      </c>
    </row>
    <row r="232" spans="1:28" x14ac:dyDescent="0.3">
      <c r="A232" s="2">
        <v>44617</v>
      </c>
      <c r="B232" s="1">
        <v>3105</v>
      </c>
      <c r="C232" s="1">
        <v>3141.4499510000001</v>
      </c>
      <c r="D232" s="1">
        <v>3083.0500489999999</v>
      </c>
      <c r="E232" s="1">
        <v>3119.1999510000001</v>
      </c>
      <c r="F232" s="1">
        <v>3119.1999510000001</v>
      </c>
      <c r="G232" s="1">
        <v>1239456</v>
      </c>
      <c r="H232" s="1">
        <v>4080</v>
      </c>
      <c r="I232" s="1">
        <v>4210</v>
      </c>
      <c r="J232" s="1">
        <v>4037.6499020000001</v>
      </c>
      <c r="K232" s="1">
        <v>4190.75</v>
      </c>
      <c r="L232" s="1">
        <v>4190.75</v>
      </c>
      <c r="M232" s="1">
        <v>425226</v>
      </c>
      <c r="Z232" s="2">
        <v>44617</v>
      </c>
      <c r="AA232" s="1">
        <f>INDEX($A:$M, MATCH(Z232, $A:$A, 0), MATCH($AA$1, $A$1:$M$1, 0))</f>
        <v>4080</v>
      </c>
      <c r="AB232" s="1">
        <f>INDEX(A:M, MATCH(Z232, A:A, 0), MATCH(AB231, A231:M231, 0))</f>
        <v>3105</v>
      </c>
    </row>
    <row r="233" spans="1:28" x14ac:dyDescent="0.3">
      <c r="A233" s="2">
        <v>44620</v>
      </c>
      <c r="B233" s="1">
        <v>3090</v>
      </c>
      <c r="C233" s="1">
        <v>3190.5</v>
      </c>
      <c r="D233" s="1">
        <v>3015</v>
      </c>
      <c r="E233" s="1">
        <v>3174.6499020000001</v>
      </c>
      <c r="F233" s="1">
        <v>3174.6499020000001</v>
      </c>
      <c r="G233" s="1">
        <v>1678348</v>
      </c>
      <c r="H233" s="1">
        <v>4155</v>
      </c>
      <c r="I233" s="1">
        <v>4355</v>
      </c>
      <c r="J233" s="1">
        <v>4062.1000979999999</v>
      </c>
      <c r="K233" s="1">
        <v>4340.3500979999999</v>
      </c>
      <c r="L233" s="1">
        <v>4340.3500979999999</v>
      </c>
      <c r="M233" s="1">
        <v>647569</v>
      </c>
      <c r="Z233" s="2">
        <v>44620</v>
      </c>
      <c r="AA233" s="1">
        <f>INDEX($A:$M, MATCH(Z233, $A:$A, 0), MATCH($AA$1, $A$1:$M$1, 0))</f>
        <v>4155</v>
      </c>
      <c r="AB233" s="1">
        <f>INDEX(A:M, MATCH(Z233, A:A, 0), MATCH(AB232, A232:M232, 0))</f>
        <v>3090</v>
      </c>
    </row>
    <row r="234" spans="1:28" x14ac:dyDescent="0.3">
      <c r="A234" s="2">
        <v>44622</v>
      </c>
      <c r="B234" s="1">
        <v>3107</v>
      </c>
      <c r="C234" s="1">
        <v>3111.1999510000001</v>
      </c>
      <c r="D234" s="1">
        <v>2991.1000979999999</v>
      </c>
      <c r="E234" s="1">
        <v>3028.9499510000001</v>
      </c>
      <c r="F234" s="1">
        <v>3028.9499510000001</v>
      </c>
      <c r="G234" s="1">
        <v>3014206</v>
      </c>
      <c r="H234" s="1">
        <v>4299.9501950000003</v>
      </c>
      <c r="I234" s="1">
        <v>4446.9501950000003</v>
      </c>
      <c r="J234" s="1">
        <v>4270</v>
      </c>
      <c r="K234" s="1">
        <v>4295.1499020000001</v>
      </c>
      <c r="L234" s="1">
        <v>4295.1499020000001</v>
      </c>
      <c r="M234" s="1">
        <v>479507</v>
      </c>
      <c r="Z234" s="2">
        <v>44622</v>
      </c>
      <c r="AA234" s="1">
        <f>INDEX($A:$M, MATCH(Z234, $A:$A, 0), MATCH($AA$1, $A$1:$M$1, 0))</f>
        <v>4299.9501950000003</v>
      </c>
      <c r="AB234" s="1">
        <f>INDEX(A:M, MATCH(Z234, A:A, 0), MATCH(AB233, A233:M233, 0))</f>
        <v>3107</v>
      </c>
    </row>
    <row r="235" spans="1:28" x14ac:dyDescent="0.3">
      <c r="A235" s="2">
        <v>44623</v>
      </c>
      <c r="B235" s="1">
        <v>3029</v>
      </c>
      <c r="C235" s="1">
        <v>3051</v>
      </c>
      <c r="D235" s="1">
        <v>2862</v>
      </c>
      <c r="E235" s="1">
        <v>2871.8999020000001</v>
      </c>
      <c r="F235" s="1">
        <v>2871.8999020000001</v>
      </c>
      <c r="G235" s="1">
        <v>4406840</v>
      </c>
      <c r="H235" s="1">
        <v>4370</v>
      </c>
      <c r="I235" s="1">
        <v>4395</v>
      </c>
      <c r="J235" s="1">
        <v>4253.8999020000001</v>
      </c>
      <c r="K235" s="1">
        <v>4276.5</v>
      </c>
      <c r="L235" s="1">
        <v>4276.5</v>
      </c>
      <c r="M235" s="1">
        <v>303425</v>
      </c>
      <c r="Z235" s="2">
        <v>44623</v>
      </c>
      <c r="AA235" s="1">
        <f>INDEX($A:$M, MATCH(Z235, $A:$A, 0), MATCH($AA$1, $A$1:$M$1, 0))</f>
        <v>4370</v>
      </c>
      <c r="AB235" s="1">
        <f>INDEX(A:M, MATCH(Z235, A:A, 0), MATCH(AB234, A234:M234, 0))</f>
        <v>3029</v>
      </c>
    </row>
    <row r="236" spans="1:28" x14ac:dyDescent="0.3">
      <c r="A236" s="2">
        <v>44624</v>
      </c>
      <c r="B236" s="1">
        <v>2863.8000489999999</v>
      </c>
      <c r="C236" s="1">
        <v>2863.8000489999999</v>
      </c>
      <c r="D236" s="1">
        <v>2662.0500489999999</v>
      </c>
      <c r="E236" s="1">
        <v>2738.1499020000001</v>
      </c>
      <c r="F236" s="1">
        <v>2738.1499020000001</v>
      </c>
      <c r="G236" s="1">
        <v>6979253</v>
      </c>
      <c r="H236" s="1">
        <v>4260.2001950000003</v>
      </c>
      <c r="I236" s="1">
        <v>4260.2001950000003</v>
      </c>
      <c r="J236" s="1">
        <v>4075.0500489999999</v>
      </c>
      <c r="K236" s="1">
        <v>4110.2001950000003</v>
      </c>
      <c r="L236" s="1">
        <v>4110.2001950000003</v>
      </c>
      <c r="M236" s="1">
        <v>437691</v>
      </c>
      <c r="Z236" s="2">
        <v>44624</v>
      </c>
      <c r="AA236" s="1">
        <f>INDEX($A:$M, MATCH(Z236, $A:$A, 0), MATCH($AA$1, $A$1:$M$1, 0))</f>
        <v>4260.2001950000003</v>
      </c>
      <c r="AB236" s="1">
        <f>INDEX(A:M, MATCH(Z236, A:A, 0), MATCH(AB235, A235:M235, 0))</f>
        <v>2863.8000489999999</v>
      </c>
    </row>
    <row r="237" spans="1:28" x14ac:dyDescent="0.3">
      <c r="A237" s="2">
        <v>44627</v>
      </c>
      <c r="B237" s="1">
        <v>2649.8999020000001</v>
      </c>
      <c r="C237" s="1">
        <v>2727.9499510000001</v>
      </c>
      <c r="D237" s="1">
        <v>2599.3500979999999</v>
      </c>
      <c r="E237" s="1">
        <v>2708.4499510000001</v>
      </c>
      <c r="F237" s="1">
        <v>2708.4499510000001</v>
      </c>
      <c r="G237" s="1">
        <v>3233760</v>
      </c>
      <c r="H237" s="1">
        <v>4001</v>
      </c>
      <c r="I237" s="1">
        <v>4175</v>
      </c>
      <c r="J237" s="1">
        <v>3970.8000489999999</v>
      </c>
      <c r="K237" s="1">
        <v>3991.6499020000001</v>
      </c>
      <c r="L237" s="1">
        <v>3991.6499020000001</v>
      </c>
      <c r="M237" s="1">
        <v>694633</v>
      </c>
      <c r="Z237" s="2">
        <v>44627</v>
      </c>
      <c r="AA237" s="1">
        <f>INDEX($A:$M, MATCH(Z237, $A:$A, 0), MATCH($AA$1, $A$1:$M$1, 0))</f>
        <v>4001</v>
      </c>
      <c r="AB237" s="1">
        <f>INDEX(A:M, MATCH(Z237, A:A, 0), MATCH(AB236, A236:M236, 0))</f>
        <v>2649.8999020000001</v>
      </c>
    </row>
    <row r="238" spans="1:28" x14ac:dyDescent="0.3">
      <c r="A238" s="2">
        <v>44628</v>
      </c>
      <c r="B238" s="1">
        <v>2690</v>
      </c>
      <c r="C238" s="1">
        <v>2736.9499510000001</v>
      </c>
      <c r="D238" s="1">
        <v>2638</v>
      </c>
      <c r="E238" s="1">
        <v>2723.3999020000001</v>
      </c>
      <c r="F238" s="1">
        <v>2723.3999020000001</v>
      </c>
      <c r="G238" s="1">
        <v>2611102</v>
      </c>
      <c r="H238" s="1">
        <v>4016</v>
      </c>
      <c r="I238" s="1">
        <v>4160</v>
      </c>
      <c r="J238" s="1">
        <v>3992.3999020000001</v>
      </c>
      <c r="K238" s="1">
        <v>4124</v>
      </c>
      <c r="L238" s="1">
        <v>4124</v>
      </c>
      <c r="M238" s="1">
        <v>713004</v>
      </c>
      <c r="Z238" s="2">
        <v>44628</v>
      </c>
      <c r="AA238" s="1">
        <f>INDEX($A:$M, MATCH(Z238, $A:$A, 0), MATCH($AA$1, $A$1:$M$1, 0))</f>
        <v>4016</v>
      </c>
      <c r="AB238" s="1">
        <f>INDEX(A:M, MATCH(Z238, A:A, 0), MATCH(AB237, A237:M237, 0))</f>
        <v>2690</v>
      </c>
    </row>
    <row r="239" spans="1:28" x14ac:dyDescent="0.3">
      <c r="A239" s="2">
        <v>44629</v>
      </c>
      <c r="B239" s="1">
        <v>2750</v>
      </c>
      <c r="C239" s="1">
        <v>2890</v>
      </c>
      <c r="D239" s="1">
        <v>2665.0500489999999</v>
      </c>
      <c r="E239" s="1">
        <v>2874.9499510000001</v>
      </c>
      <c r="F239" s="1">
        <v>2874.9499510000001</v>
      </c>
      <c r="G239" s="1">
        <v>4076068</v>
      </c>
      <c r="H239" s="1">
        <v>4155</v>
      </c>
      <c r="I239" s="1">
        <v>4172.8999020000001</v>
      </c>
      <c r="J239" s="1">
        <v>4071.1000979999999</v>
      </c>
      <c r="K239" s="1">
        <v>4096.7001950000003</v>
      </c>
      <c r="L239" s="1">
        <v>4096.7001950000003</v>
      </c>
      <c r="M239" s="1">
        <v>395071</v>
      </c>
      <c r="Z239" s="2">
        <v>44629</v>
      </c>
      <c r="AA239" s="1">
        <f>INDEX($A:$M, MATCH(Z239, $A:$A, 0), MATCH($AA$1, $A$1:$M$1, 0))</f>
        <v>4155</v>
      </c>
      <c r="AB239" s="1">
        <f>INDEX(A:M, MATCH(Z239, A:A, 0), MATCH(AB238, A238:M238, 0))</f>
        <v>2750</v>
      </c>
    </row>
    <row r="240" spans="1:28" x14ac:dyDescent="0.3">
      <c r="A240" s="2">
        <v>44630</v>
      </c>
      <c r="B240" s="1">
        <v>3000</v>
      </c>
      <c r="C240" s="1">
        <v>3040</v>
      </c>
      <c r="D240" s="1">
        <v>2891.1999510000001</v>
      </c>
      <c r="E240" s="1">
        <v>2912.8000489999999</v>
      </c>
      <c r="F240" s="1">
        <v>2912.8000489999999</v>
      </c>
      <c r="G240" s="1">
        <v>3971987</v>
      </c>
      <c r="H240" s="1">
        <v>4210</v>
      </c>
      <c r="I240" s="1">
        <v>4239.8999020000001</v>
      </c>
      <c r="J240" s="1">
        <v>4142.2998049999997</v>
      </c>
      <c r="K240" s="1">
        <v>4168.6000979999999</v>
      </c>
      <c r="L240" s="1">
        <v>4168.6000979999999</v>
      </c>
      <c r="M240" s="1">
        <v>439778</v>
      </c>
      <c r="Z240" s="2">
        <v>44630</v>
      </c>
      <c r="AA240" s="1">
        <f>INDEX($A:$M, MATCH(Z240, $A:$A, 0), MATCH($AA$1, $A$1:$M$1, 0))</f>
        <v>4210</v>
      </c>
      <c r="AB240" s="1">
        <f>INDEX(A:M, MATCH(Z240, A:A, 0), MATCH(AB239, A239:M239, 0))</f>
        <v>3000</v>
      </c>
    </row>
    <row r="241" spans="1:28" x14ac:dyDescent="0.3">
      <c r="A241" s="2">
        <v>44631</v>
      </c>
      <c r="B241" s="1">
        <v>2917</v>
      </c>
      <c r="C241" s="1">
        <v>2939.9499510000001</v>
      </c>
      <c r="D241" s="1">
        <v>2882.3500979999999</v>
      </c>
      <c r="E241" s="1">
        <v>2932</v>
      </c>
      <c r="F241" s="1">
        <v>2932</v>
      </c>
      <c r="G241" s="1">
        <v>1265493</v>
      </c>
      <c r="H241" s="1">
        <v>4167</v>
      </c>
      <c r="I241" s="1">
        <v>4210</v>
      </c>
      <c r="J241" s="1">
        <v>4109.25</v>
      </c>
      <c r="K241" s="1">
        <v>4198.9501950000003</v>
      </c>
      <c r="L241" s="1">
        <v>4198.9501950000003</v>
      </c>
      <c r="M241" s="1">
        <v>387534</v>
      </c>
      <c r="Z241" s="2">
        <v>44631</v>
      </c>
      <c r="AA241" s="1">
        <f>INDEX($A:$M, MATCH(Z241, $A:$A, 0), MATCH($AA$1, $A$1:$M$1, 0))</f>
        <v>4167</v>
      </c>
      <c r="AB241" s="1">
        <f>INDEX(A:M, MATCH(Z241, A:A, 0), MATCH(AB240, A240:M240, 0))</f>
        <v>2917</v>
      </c>
    </row>
    <row r="242" spans="1:28" x14ac:dyDescent="0.3">
      <c r="A242" s="2">
        <v>44634</v>
      </c>
      <c r="B242" s="1">
        <v>2950</v>
      </c>
      <c r="C242" s="1">
        <v>2972.3500979999999</v>
      </c>
      <c r="D242" s="1">
        <v>2917.3000489999999</v>
      </c>
      <c r="E242" s="1">
        <v>2962.8000489999999</v>
      </c>
      <c r="F242" s="1">
        <v>2962.8000489999999</v>
      </c>
      <c r="G242" s="1">
        <v>1214217</v>
      </c>
      <c r="H242" s="1">
        <v>4190</v>
      </c>
      <c r="I242" s="1">
        <v>4218</v>
      </c>
      <c r="J242" s="1">
        <v>4150</v>
      </c>
      <c r="K242" s="1">
        <v>4168.25</v>
      </c>
      <c r="L242" s="1">
        <v>4168.25</v>
      </c>
      <c r="M242" s="1">
        <v>305326</v>
      </c>
      <c r="Z242" s="2">
        <v>44634</v>
      </c>
      <c r="AA242" s="1">
        <f>INDEX($A:$M, MATCH(Z242, $A:$A, 0), MATCH($AA$1, $A$1:$M$1, 0))</f>
        <v>4190</v>
      </c>
      <c r="AB242" s="1">
        <f>INDEX(A:M, MATCH(Z242, A:A, 0), MATCH(AB241, A241:M241, 0))</f>
        <v>2950</v>
      </c>
    </row>
    <row r="243" spans="1:28" x14ac:dyDescent="0.3">
      <c r="A243" s="2">
        <v>44635</v>
      </c>
      <c r="B243" s="1">
        <v>2998</v>
      </c>
      <c r="C243" s="1">
        <v>3032</v>
      </c>
      <c r="D243" s="1">
        <v>2966</v>
      </c>
      <c r="E243" s="1">
        <v>2987.1499020000001</v>
      </c>
      <c r="F243" s="1">
        <v>2987.1499020000001</v>
      </c>
      <c r="G243" s="1">
        <v>1857685</v>
      </c>
      <c r="H243" s="1">
        <v>4191</v>
      </c>
      <c r="I243" s="1">
        <v>4251</v>
      </c>
      <c r="J243" s="1">
        <v>4171.75</v>
      </c>
      <c r="K243" s="1">
        <v>4231.0498049999997</v>
      </c>
      <c r="L243" s="1">
        <v>4231.0498049999997</v>
      </c>
      <c r="M243" s="1">
        <v>560819</v>
      </c>
      <c r="Z243" s="2">
        <v>44635</v>
      </c>
      <c r="AA243" s="1">
        <f>INDEX($A:$M, MATCH(Z243, $A:$A, 0), MATCH($AA$1, $A$1:$M$1, 0))</f>
        <v>4191</v>
      </c>
      <c r="AB243" s="1">
        <f>INDEX(A:M, MATCH(Z243, A:A, 0), MATCH(AB242, A242:M242, 0))</f>
        <v>2998</v>
      </c>
    </row>
    <row r="244" spans="1:28" x14ac:dyDescent="0.3">
      <c r="A244" s="2">
        <v>44636</v>
      </c>
      <c r="B244" s="1">
        <v>3043</v>
      </c>
      <c r="C244" s="1">
        <v>3050</v>
      </c>
      <c r="D244" s="1">
        <v>3010.75</v>
      </c>
      <c r="E244" s="1">
        <v>3042</v>
      </c>
      <c r="F244" s="1">
        <v>3042</v>
      </c>
      <c r="G244" s="1">
        <v>1287234</v>
      </c>
      <c r="H244" s="1">
        <v>4229.75</v>
      </c>
      <c r="I244" s="1">
        <v>4243.6000979999999</v>
      </c>
      <c r="J244" s="1">
        <v>4153</v>
      </c>
      <c r="K244" s="1">
        <v>4169.5498049999997</v>
      </c>
      <c r="L244" s="1">
        <v>4169.5498049999997</v>
      </c>
      <c r="M244" s="1">
        <v>470355</v>
      </c>
      <c r="Z244" s="2">
        <v>44636</v>
      </c>
      <c r="AA244" s="1">
        <f>INDEX($A:$M, MATCH(Z244, $A:$A, 0), MATCH($AA$1, $A$1:$M$1, 0))</f>
        <v>4229.75</v>
      </c>
      <c r="AB244" s="1">
        <f>INDEX(A:M, MATCH(Z244, A:A, 0), MATCH(AB243, A243:M243, 0))</f>
        <v>3043</v>
      </c>
    </row>
    <row r="245" spans="1:28" x14ac:dyDescent="0.3">
      <c r="A245" s="2">
        <v>44637</v>
      </c>
      <c r="B245" s="1">
        <v>3113.5</v>
      </c>
      <c r="C245" s="1">
        <v>3163.3000489999999</v>
      </c>
      <c r="D245" s="1">
        <v>3076.5</v>
      </c>
      <c r="E245" s="1">
        <v>3136.6000979999999</v>
      </c>
      <c r="F245" s="1">
        <v>3136.6000979999999</v>
      </c>
      <c r="G245" s="1">
        <v>2867519</v>
      </c>
      <c r="H245" s="1">
        <v>4218</v>
      </c>
      <c r="I245" s="1">
        <v>4239</v>
      </c>
      <c r="J245" s="1">
        <v>4166.1000979999999</v>
      </c>
      <c r="K245" s="1">
        <v>4192.75</v>
      </c>
      <c r="L245" s="1">
        <v>4192.75</v>
      </c>
      <c r="M245" s="1">
        <v>608024</v>
      </c>
      <c r="Z245" s="2">
        <v>44637</v>
      </c>
      <c r="AA245" s="1">
        <f>INDEX($A:$M, MATCH(Z245, $A:$A, 0), MATCH($AA$1, $A$1:$M$1, 0))</f>
        <v>4218</v>
      </c>
      <c r="AB245" s="1">
        <f>INDEX(A:M, MATCH(Z245, A:A, 0), MATCH(AB244, A244:M244, 0))</f>
        <v>3113.5</v>
      </c>
    </row>
    <row r="246" spans="1:28" x14ac:dyDescent="0.3">
      <c r="A246" s="2">
        <v>44641</v>
      </c>
      <c r="B246" s="1">
        <v>3117.3000489999999</v>
      </c>
      <c r="C246" s="1">
        <v>3117.3000489999999</v>
      </c>
      <c r="D246" s="1">
        <v>3030.1000979999999</v>
      </c>
      <c r="E246" s="1">
        <v>3045.75</v>
      </c>
      <c r="F246" s="1">
        <v>3045.75</v>
      </c>
      <c r="G246" s="1">
        <v>1259015</v>
      </c>
      <c r="H246" s="1">
        <v>4217</v>
      </c>
      <c r="I246" s="1">
        <v>4217</v>
      </c>
      <c r="J246" s="1">
        <v>4080.6000979999999</v>
      </c>
      <c r="K246" s="1">
        <v>4095.1999510000001</v>
      </c>
      <c r="L246" s="1">
        <v>4095.1999510000001</v>
      </c>
      <c r="M246" s="1">
        <v>370641</v>
      </c>
      <c r="Z246" s="2">
        <v>44641</v>
      </c>
      <c r="AA246" s="1">
        <f>INDEX($A:$M, MATCH(Z246, $A:$A, 0), MATCH($AA$1, $A$1:$M$1, 0))</f>
        <v>4217</v>
      </c>
      <c r="AB246" s="1">
        <f>INDEX(A:M, MATCH(Z246, A:A, 0), MATCH(AB245, A245:M245, 0))</f>
        <v>3117.3000489999999</v>
      </c>
    </row>
    <row r="247" spans="1:28" x14ac:dyDescent="0.3">
      <c r="A247" s="2">
        <v>44642</v>
      </c>
      <c r="B247" s="1">
        <v>3024</v>
      </c>
      <c r="C247" s="1">
        <v>3062.6999510000001</v>
      </c>
      <c r="D247" s="1">
        <v>2975</v>
      </c>
      <c r="E247" s="1">
        <v>3051.1499020000001</v>
      </c>
      <c r="F247" s="1">
        <v>3051.1499020000001</v>
      </c>
      <c r="G247" s="1">
        <v>1515772</v>
      </c>
      <c r="H247" s="1">
        <v>4129</v>
      </c>
      <c r="I247" s="1">
        <v>4129</v>
      </c>
      <c r="J247" s="1">
        <v>4031</v>
      </c>
      <c r="K247" s="1">
        <v>4054</v>
      </c>
      <c r="L247" s="1">
        <v>4054</v>
      </c>
      <c r="M247" s="1">
        <v>396898</v>
      </c>
      <c r="Z247" s="2">
        <v>44642</v>
      </c>
      <c r="AA247" s="1">
        <f>INDEX($A:$M, MATCH(Z247, $A:$A, 0), MATCH($AA$1, $A$1:$M$1, 0))</f>
        <v>4129</v>
      </c>
      <c r="AB247" s="1">
        <f>INDEX(A:M, MATCH(Z247, A:A, 0), MATCH(AB246, A246:M246, 0))</f>
        <v>3024</v>
      </c>
    </row>
    <row r="248" spans="1:28" x14ac:dyDescent="0.3">
      <c r="A248" s="2">
        <v>44643</v>
      </c>
      <c r="B248" s="1">
        <v>3060</v>
      </c>
      <c r="C248" s="1">
        <v>3079.8999020000001</v>
      </c>
      <c r="D248" s="1">
        <v>3005</v>
      </c>
      <c r="E248" s="1">
        <v>3016.8000489999999</v>
      </c>
      <c r="F248" s="1">
        <v>3016.8000489999999</v>
      </c>
      <c r="G248" s="1">
        <v>948403</v>
      </c>
      <c r="H248" s="1">
        <v>4085.6999510000001</v>
      </c>
      <c r="I248" s="1">
        <v>4119</v>
      </c>
      <c r="J248" s="1">
        <v>4064.6000979999999</v>
      </c>
      <c r="K248" s="1">
        <v>4091.3500979999999</v>
      </c>
      <c r="L248" s="1">
        <v>4091.3500979999999</v>
      </c>
      <c r="M248" s="1">
        <v>285639</v>
      </c>
      <c r="Z248" s="2">
        <v>44643</v>
      </c>
      <c r="AA248" s="1">
        <f>INDEX($A:$M, MATCH(Z248, $A:$A, 0), MATCH($AA$1, $A$1:$M$1, 0))</f>
        <v>4085.6999510000001</v>
      </c>
      <c r="AB248" s="1">
        <f>INDEX(A:M, MATCH(Z248, A:A, 0), MATCH(AB247, A247:M247, 0))</f>
        <v>3060</v>
      </c>
    </row>
    <row r="249" spans="1:28" x14ac:dyDescent="0.3">
      <c r="A249" s="2">
        <v>44644</v>
      </c>
      <c r="B249" s="1">
        <v>2969.5</v>
      </c>
      <c r="C249" s="1">
        <v>3038.9499510000001</v>
      </c>
      <c r="D249" s="1">
        <v>2950.5500489999999</v>
      </c>
      <c r="E249" s="1">
        <v>3025.3500979999999</v>
      </c>
      <c r="F249" s="1">
        <v>3025.3500979999999</v>
      </c>
      <c r="G249" s="1">
        <v>1243890</v>
      </c>
      <c r="H249" s="1">
        <v>4086.25</v>
      </c>
      <c r="I249" s="1">
        <v>4086.25</v>
      </c>
      <c r="J249" s="1">
        <v>4031.5500489999999</v>
      </c>
      <c r="K249" s="1">
        <v>4042.8500979999999</v>
      </c>
      <c r="L249" s="1">
        <v>4042.8500979999999</v>
      </c>
      <c r="M249" s="1">
        <v>374534</v>
      </c>
      <c r="Z249" s="2">
        <v>44644</v>
      </c>
      <c r="AA249" s="1">
        <f>INDEX($A:$M, MATCH(Z249, $A:$A, 0), MATCH($AA$1, $A$1:$M$1, 0))</f>
        <v>4086.25</v>
      </c>
      <c r="AB249" s="1">
        <f>INDEX(A:M, MATCH(Z249, A:A, 0), MATCH(AB248, A248:M248, 0))</f>
        <v>2969.5</v>
      </c>
    </row>
  </sheetData>
  <mergeCells count="1">
    <mergeCell ref="Q1:X3"/>
  </mergeCells>
  <dataValidations count="1">
    <dataValidation type="list" allowBlank="1" showInputMessage="1" showErrorMessage="1" sqref="O3:O4" xr:uid="{A958D2E1-BCE6-474E-B2C6-A7092EA94BAC}">
      <formula1>$B$1:$M$1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</vt:lpstr>
      <vt:lpstr>AsianPaints</vt:lpstr>
      <vt:lpstr>Dataset +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</dc:creator>
  <cp:lastModifiedBy>Priyanka S</cp:lastModifiedBy>
  <dcterms:created xsi:type="dcterms:W3CDTF">2025-08-26T13:32:30Z</dcterms:created>
  <dcterms:modified xsi:type="dcterms:W3CDTF">2025-08-27T09:38:16Z</dcterms:modified>
</cp:coreProperties>
</file>